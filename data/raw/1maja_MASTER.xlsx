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5"/>
    <sheet state="visible" name="Attendance - Warsaw" sheetId="2" r:id="rId6"/>
    <sheet state="visible" name="Attendance - Berlin" sheetId="3" r:id="rId7"/>
    <sheet state="visible" name="Weather" sheetId="4" r:id="rId8"/>
    <sheet state="visible" name="Events - Warsaw" sheetId="5" r:id="rId9"/>
    <sheet state="visible" name="Events - Berlin" sheetId="6" r:id="rId10"/>
    <sheet state="visible" name="Event Types - Warsaw" sheetId="7" r:id="rId11"/>
    <sheet state="visible" name="Event Types - Berlin" sheetId="8" r:id="rId12"/>
    <sheet state="visible" name="Sources - Observations (Berlin)" sheetId="9" r:id="rId13"/>
    <sheet state="visible" name="Sources - Averages (Berlin)" sheetId="10" r:id="rId14"/>
    <sheet state="visible" name="Sources - Observations (Warsaw)" sheetId="11" r:id="rId15"/>
    <sheet state="visible" name="Sources - Averages (Warsaw)" sheetId="12" r:id="rId16"/>
    <sheet state="visible" name="Berlin - Unrest vs Turnout" sheetId="13" r:id="rId17"/>
  </sheets>
  <definedNames/>
  <calcPr/>
</workbook>
</file>

<file path=xl/sharedStrings.xml><?xml version="1.0" encoding="utf-8"?>
<sst xmlns="http://schemas.openxmlformats.org/spreadsheetml/2006/main" count="1916" uniqueCount="349">
  <si>
    <t>1 May - Berlin (DGB) and Warsaw (OPZZ), 1990-2019</t>
  </si>
  <si>
    <t>Consolidated workbook for the annual report: attendance, weather, event breakdown, event structure, sources</t>
  </si>
  <si>
    <t>Contents:</t>
  </si>
  <si>
    <t xml:space="preserve">  - Attendance - Warsaw / Attendance - Berlin: yearly 1 May attendance, day of week, length of the May holiday weekend, union share of total attendance, 3-year moving average.</t>
  </si>
  <si>
    <t xml:space="preserve">  - Weather: legacy morning-weather estimate (Open-Meteo data).</t>
  </si>
  <si>
    <t xml:space="preserve">  - Events - Warsaw / Events - Berlin: detailed breakdown into the individual marches/events that make up 1 May in each city and year.</t>
  </si>
  <si>
    <t xml:space="preserve">  - Event structure &amp; rally location: event-type counts per year (demonstrations, festivals, commemorations, rallies, counter-demonstrations, meetings, happenings, corsos) and the main rally/festival location per year.</t>
  </si>
  <si>
    <t xml:space="preserve">  - Sources - Observations / Averages (Berlin, Warsaw): individual cited estimates (press / organisers / police where available) behind the yearly averages.</t>
  </si>
  <si>
    <t xml:space="preserve">  - Berlin - unrest vs turnout: police deployment, injuries and arrests around 1 May vs. DGB attendance.</t>
  </si>
  <si>
    <t>1 May attendance - Warsaw, 1990-2019</t>
  </si>
  <si>
    <t>Day of week, length of the May holiday weekend, union attendance, share of total, 3-year moving average</t>
  </si>
  <si>
    <t>Year</t>
  </si>
  <si>
    <t>Day of week</t>
  </si>
  <si>
    <t>Weekend length (days)</t>
  </si>
  <si>
    <t>Union attendance</t>
  </si>
  <si>
    <t>Total attendance (all events)</t>
  </si>
  <si>
    <t>Union share of total</t>
  </si>
  <si>
    <t>3-yr moving union share</t>
  </si>
  <si>
    <t>Tuesday</t>
  </si>
  <si>
    <t>Wednesday</t>
  </si>
  <si>
    <t>Friday</t>
  </si>
  <si>
    <t>Saturday</t>
  </si>
  <si>
    <t>Sunday</t>
  </si>
  <si>
    <t>Monday</t>
  </si>
  <si>
    <t>Thursday</t>
  </si>
  <si>
    <t>Average</t>
  </si>
  <si>
    <t>Median</t>
  </si>
  <si>
    <t>Maximum</t>
  </si>
  <si>
    <t>Minimum</t>
  </si>
  <si>
    <t>1 May attendance - Berlin, 1990-2019</t>
  </si>
  <si>
    <t>3-yr moving share (union)</t>
  </si>
  <si>
    <t>Weather on 1 May - Warsaw and Berlin, 1990-2019</t>
  </si>
  <si>
    <t>LEGACY ESTIMATE - see note below. Not sourced from Open-Meteo.</t>
  </si>
  <si>
    <t>Source: https://archive-api.open-meteo.com/</t>
  </si>
  <si>
    <t>Warsaw - morning temp (C, legacy)</t>
  </si>
  <si>
    <t>Warsaw - precipitation (mm, legacy)</t>
  </si>
  <si>
    <t>Berlin - morning temp (C, legacy)</t>
  </si>
  <si>
    <t>Berlin - precipitation (mm, legacy)</t>
  </si>
  <si>
    <t>1 May events - detailed breakdown, Warsaw</t>
  </si>
  <si>
    <t>Attendance by individual event/march making up 1 May each year</t>
  </si>
  <si>
    <t>OPZZ / trade unions (main march)</t>
  </si>
  <si>
    <t>PPS</t>
  </si>
  <si>
    <t>Alternative Left (W4)</t>
  </si>
  <si>
    <t>Anarchists (W8)</t>
  </si>
  <si>
    <t>Right-wing / Nationalists</t>
  </si>
  <si>
    <t>Equality Parade</t>
  </si>
  <si>
    <t>Solidarity mass (1990-1994)</t>
  </si>
  <si>
    <t>UPR rally (1995, one-off)</t>
  </si>
  <si>
    <t>Total</t>
  </si>
  <si>
    <t>Total-trade union</t>
  </si>
  <si>
    <t>s</t>
  </si>
  <si>
    <t>Average attendance per event (years with data):</t>
  </si>
  <si>
    <t>years with data</t>
  </si>
  <si>
    <t>A blank cell = no data for that year. Columns marked '(no data yet)' are confirmed historical events without a collected attendance figure. The European Festival (2015, ~30,000) is intentionally excluded from this workbook - see Introduction.</t>
  </si>
  <si>
    <t>1 May events - detailed breakdown, Berlin</t>
  </si>
  <si>
    <t>DGB Berlin (main trade-union rally)</t>
  </si>
  <si>
    <t>PDS/Ost (1990-1994)</t>
  </si>
  <si>
    <t>Revolutionary May 1st (joint march, 1990-1995)</t>
  </si>
  <si>
    <t>Revolutionary May 1st (18:00)</t>
  </si>
  <si>
    <t>Revolutionary May 1st (13:00)</t>
  </si>
  <si>
    <t>PDS/Ost (1995-2002)</t>
  </si>
  <si>
    <t>EuroMayDay</t>
  </si>
  <si>
    <t>Anti-Nazi counter-demonstration</t>
  </si>
  <si>
    <t>Neo-nazi/far right</t>
  </si>
  <si>
    <t>MyFest Kreuzberg (festival)</t>
  </si>
  <si>
    <t>Mariannenplatzfest (festival, since 2003 part of MyFest)</t>
  </si>
  <si>
    <t>MyGruni</t>
  </si>
  <si>
    <t>Neo-Nazi march</t>
  </si>
  <si>
    <t>Mariannenplatzfest (festival)</t>
  </si>
  <si>
    <t>A blank cell = no data for that year. Columns marked '(no data yet)' are confirmed historical events without a collected attendance figure.</t>
  </si>
  <si>
    <t>Event types per year - Warsaw, 1990-2019</t>
  </si>
  <si>
    <t>Counts by event type each year, plus descriptive statistics of how the mix changed over time (source: pipeline/output/pole_*.csv, plus flagged additions - see note)</t>
  </si>
  <si>
    <t>Total events</t>
  </si>
  <si>
    <t>Demonstrations</t>
  </si>
  <si>
    <t>Festivals</t>
  </si>
  <si>
    <t>Commemorations</t>
  </si>
  <si>
    <t>Rallies</t>
  </si>
  <si>
    <t>Counter-demonstrations</t>
  </si>
  <si>
    <t>Meetings</t>
  </si>
  <si>
    <t>Happenings</t>
  </si>
  <si>
    <t>Corsos (car parades)</t>
  </si>
  <si>
    <t>Mass (Solidarity)</t>
  </si>
  <si>
    <t>Main rally/festival location</t>
  </si>
  <si>
    <t>plac Teatralny</t>
  </si>
  <si>
    <t>plac Grzybowski</t>
  </si>
  <si>
    <t>Sejm RP</t>
  </si>
  <si>
    <t>Wiec pod OPZZ</t>
  </si>
  <si>
    <t>Park Rydza-Śmigłego</t>
  </si>
  <si>
    <t>Krakowskie Przedmieście</t>
  </si>
  <si>
    <t>Totals, 1990-2019</t>
  </si>
  <si>
    <t>Event type</t>
  </si>
  <si>
    <t>Total count</t>
  </si>
  <si>
    <t>Avg. per year</t>
  </si>
  <si>
    <t>Years present</t>
  </si>
  <si>
    <t>Share of all events</t>
  </si>
  <si>
    <t>All types</t>
  </si>
  <si>
    <t>By decade (share of that decade's events, %)</t>
  </si>
  <si>
    <t>1990-1999</t>
  </si>
  <si>
    <t>2000-2009</t>
  </si>
  <si>
    <t>2010-2019</t>
  </si>
  <si>
    <t>Total events' counts every mapped event of any type in that year (from the project's event-mapping, PLUS the flagged additions below). Decade shares are of that decade's own total event count, so they show how the COMPOSITION changed even as the overall number of events varied. A blank cell = zero events of that type that year.</t>
  </si>
  <si>
    <t>PRELIMINARY, XLSX-ONLY ADDITION: 'Mass (Solidarity)' is not in pole_warszawa.csv. 1990-1996;1998;2000;2003;2007;2009 (bold) are confirmed by cited sources ('Warszawa1.xlsx', Solidarnosc sheet). others (red italic) are an ASSUMED continuation of the yearly mass, UNCONFIRMED - flagged for verification, not a sourced fact.</t>
  </si>
  <si>
    <t>SIGNAL FOR THE PIPELINE/DATABASE TASK: both corrections above are applied only in this workbook. They should be reviewed and, if confirmed, folded into pole_warszawa.csv / pole_berlin.csv (and the underlying event database) by whichever task maintains that pipeline.</t>
  </si>
  <si>
    <t>Event types per year - Berlin, 1990-2019</t>
  </si>
  <si>
    <t>Counts by event type each year, plus descriptive statistics of how the mix changed over time</t>
  </si>
  <si>
    <t>Festivals*</t>
  </si>
  <si>
    <t>Platz der Republik</t>
  </si>
  <si>
    <t>Lustgarten</t>
  </si>
  <si>
    <t>Köllnischer Park</t>
  </si>
  <si>
    <t>Rotes Rathaus</t>
  </si>
  <si>
    <t>Brandenburger Tor</t>
  </si>
  <si>
    <t>*Does not include district level festivals</t>
  </si>
  <si>
    <t>Source observations - attendance, Berlin</t>
  </si>
  <si>
    <t>Individual cited estimates (press / organisers / police) behind the yearly averages in the Attendance/Events sheets</t>
  </si>
  <si>
    <t>Event</t>
  </si>
  <si>
    <t>Attendance</t>
  </si>
  <si>
    <t>Source category</t>
  </si>
  <si>
    <t>Source / citation</t>
  </si>
  <si>
    <t>press</t>
  </si>
  <si>
    <t>Gluckspilz</t>
  </si>
  <si>
    <t>taz</t>
  </si>
  <si>
    <t>organisers</t>
  </si>
  <si>
    <t>Breitenbach (JW 3.05)</t>
  </si>
  <si>
    <t>ND</t>
  </si>
  <si>
    <t>Tsg, s. 11</t>
  </si>
  <si>
    <t>LÖPA</t>
  </si>
  <si>
    <t>Umbruch</t>
  </si>
  <si>
    <t>police</t>
  </si>
  <si>
    <t>Polizeiliche darstellung</t>
  </si>
  <si>
    <t>BM</t>
  </si>
  <si>
    <t>police via taz</t>
  </si>
  <si>
    <t>Berliner Bundnis gegen Rechts</t>
  </si>
  <si>
    <t>nd</t>
  </si>
  <si>
    <t>Junge Welt</t>
  </si>
  <si>
    <t>Neues Deutschland</t>
  </si>
  <si>
    <t>TAZ</t>
  </si>
  <si>
    <t>rbb</t>
  </si>
  <si>
    <t>"mehrere Tausend" (taz)</t>
  </si>
  <si>
    <t>Christine Bretz, DGB Berlin (taz)</t>
  </si>
  <si>
    <t>Kronika Berlina</t>
  </si>
  <si>
    <t>Berliner Morgenpost DGBG657</t>
  </si>
  <si>
    <t>Neues Deutschland (Kritische Gewerkschaften s.71)</t>
  </si>
  <si>
    <t>DGBG000656</t>
  </si>
  <si>
    <t>Berliner Zeitung 2.05.1992</t>
  </si>
  <si>
    <t>Taz 3.05</t>
  </si>
  <si>
    <t>Neues Deutschland 3.05; Berliner Zeitung 3.05 za DGB</t>
  </si>
  <si>
    <t>DGBG664</t>
  </si>
  <si>
    <t>TAZ 2.05</t>
  </si>
  <si>
    <t>Berliner Morgenpost (DGBB664)</t>
  </si>
  <si>
    <t>Berliner Zeitung (DGBB664)</t>
  </si>
  <si>
    <t>DPA</t>
  </si>
  <si>
    <t>DGBG1329</t>
  </si>
  <si>
    <t>rbb B1 1. Mai Spezial</t>
  </si>
  <si>
    <t>dpa</t>
  </si>
  <si>
    <t>DGBG1327 (15000–20000, środek przedziału)</t>
  </si>
  <si>
    <t>Tagesspiegel</t>
  </si>
  <si>
    <t>TAZ 3.05</t>
  </si>
  <si>
    <t>policja za taz</t>
  </si>
  <si>
    <t>DGB (za Berliner Zeitung 3.05)</t>
  </si>
  <si>
    <t>Organizatorzy (za Tagesspiegel)</t>
  </si>
  <si>
    <t>Poicja (za Tagsspl)</t>
  </si>
  <si>
    <t>DGBAI3702</t>
  </si>
  <si>
    <t>Berliner Kurier</t>
  </si>
  <si>
    <t>Berliner Zeitung</t>
  </si>
  <si>
    <t>Tagesspiegel (za organizatorami)</t>
  </si>
  <si>
    <t>Taz 2.05</t>
  </si>
  <si>
    <t>Helbrecht (za policją)</t>
  </si>
  <si>
    <t>TAZ 2.05 s.21 za organizatorami</t>
  </si>
  <si>
    <t>Die Welt 3.05 / Hamburger Abendblatt 3.05 (organizatorzy)</t>
  </si>
  <si>
    <t>Tagesspiegel (za policją)</t>
  </si>
  <si>
    <t>Strona arch. DGB</t>
  </si>
  <si>
    <t>Petra Pau i Berliner Zeitung (za DGB)</t>
  </si>
  <si>
    <t>Geschäftsbericht</t>
  </si>
  <si>
    <t>policja</t>
  </si>
  <si>
    <t>BK 2.05</t>
  </si>
  <si>
    <t>TAZ / BK 2.05 (mehrere Tausend → ~3000)</t>
  </si>
  <si>
    <t>weit mehr als 6000 (BZ 2.05.2008)</t>
  </si>
  <si>
    <t>Helbrecht (weit weniger als 6000 → ~5000)</t>
  </si>
  <si>
    <t>TAZ liveticker (za organizatorami)</t>
  </si>
  <si>
    <t>Helbrecht (za policją 2500; mało wiarygodne)</t>
  </si>
  <si>
    <t>Berliner Morgenpost (za organizatorami)</t>
  </si>
  <si>
    <t>rbb za organizatorami</t>
  </si>
  <si>
    <t>Berliner Morgenpost (za policją)</t>
  </si>
  <si>
    <t>Tagesspiegel 2.05 (12000–15000, środek)</t>
  </si>
  <si>
    <t>taz 2.05</t>
  </si>
  <si>
    <t>DGB BB</t>
  </si>
  <si>
    <t>Welt 2.05 (7000–12000, środek)</t>
  </si>
  <si>
    <t>BZ</t>
  </si>
  <si>
    <t>rbb za DGB</t>
  </si>
  <si>
    <t>TAZ liveticker 1.05 za organizatorami</t>
  </si>
  <si>
    <t>BZ / DGB BB internet (za organizatorami)</t>
  </si>
  <si>
    <t>Neues Deutschland (za organizatorami)</t>
  </si>
  <si>
    <t>Policja</t>
  </si>
  <si>
    <t>DGB online</t>
  </si>
  <si>
    <t>(uncategorised)</t>
  </si>
  <si>
    <t>odwołano</t>
  </si>
  <si>
    <t>Tylko na zaproszenie</t>
  </si>
  <si>
    <t>polizei Meldung</t>
  </si>
  <si>
    <t>Naturfreunde</t>
  </si>
  <si>
    <t>taz liveticker</t>
  </si>
  <si>
    <t>Berliner Morgenpost</t>
  </si>
  <si>
    <t>taz; ta sama liczba, co MyFest</t>
  </si>
  <si>
    <t>taz 16.01</t>
  </si>
  <si>
    <t>BZ 17.01</t>
  </si>
  <si>
    <t>Helbrecht</t>
  </si>
  <si>
    <t>organizatorzy via taz</t>
  </si>
  <si>
    <t>"mehrere zeintausend" Franz Schulz (Grüne), za BZ 3.05</t>
  </si>
  <si>
    <t>policja via MAZ</t>
  </si>
  <si>
    <t>knapp 30 000 police via Stuttgarter Nachrichten</t>
  </si>
  <si>
    <t>taz 1.05.2013</t>
  </si>
  <si>
    <t>organisers via Tsg</t>
  </si>
  <si>
    <t>szacunki (MyFest + MaiGörli)</t>
  </si>
  <si>
    <t>szacunki</t>
  </si>
  <si>
    <t>taz ticker</t>
  </si>
  <si>
    <t>PM MyGruni</t>
  </si>
  <si>
    <t>Weit mehr als 2000 Menschen, BK 2.05.2019</t>
  </si>
  <si>
    <t>taz(4.05.2019)</t>
  </si>
  <si>
    <t>(organisers via Berliner Zeitung 1.05.2019)</t>
  </si>
  <si>
    <t>3000 (Berliner Zeitung, 2.05.2019)</t>
  </si>
  <si>
    <t>jw</t>
  </si>
  <si>
    <t>TsG, s. 11</t>
  </si>
  <si>
    <t>taz, za policją</t>
  </si>
  <si>
    <t>TsG</t>
  </si>
  <si>
    <t>(TsG) – Prenzlauer Berg + Ku'Damm</t>
  </si>
  <si>
    <t>apabiz.de</t>
  </si>
  <si>
    <t>Störungsmelder, blog.zeit.de</t>
  </si>
  <si>
    <t>rbb (AfD Fest)</t>
  </si>
  <si>
    <t>taz (AfD Fest)</t>
  </si>
  <si>
    <t>AfD</t>
  </si>
  <si>
    <t>PDS/Ost</t>
  </si>
  <si>
    <t>ND (demo Ost)</t>
  </si>
  <si>
    <t>taz (demo Ost)</t>
  </si>
  <si>
    <t>Zug der Widerspensigsten (JW)</t>
  </si>
  <si>
    <t>ZdW (JW)</t>
  </si>
  <si>
    <t>(Zug PDS) BZ</t>
  </si>
  <si>
    <t>mehrere hundert, rbb</t>
  </si>
  <si>
    <t>"mehrere Tausend" PDS Kundgebung ~4000, ND</t>
  </si>
  <si>
    <t>PDS Kundgebung (organizatorzy, za ND)</t>
  </si>
  <si>
    <t>Polizei, za ND PDS Kundgebung</t>
  </si>
  <si>
    <t>PDS Fest, BZ</t>
  </si>
  <si>
    <t>PDS Veranstaltung ND</t>
  </si>
  <si>
    <t>PDS Kundgebung, ND</t>
  </si>
  <si>
    <t>PDS Kundgebung, BZ</t>
  </si>
  <si>
    <t>PDS Kundgebung, die Welt</t>
  </si>
  <si>
    <t>PDS Kundgebung, Berliner Kurier</t>
  </si>
  <si>
    <t>PDs Kundgebung, ND</t>
  </si>
  <si>
    <t>PDS Kundgebung Rucht</t>
  </si>
  <si>
    <t>PDS Kundgebung rbb</t>
  </si>
  <si>
    <t>stressfaktor</t>
  </si>
  <si>
    <t>Tsg, police</t>
  </si>
  <si>
    <t>mehr Menschen mit Kamera und Fotoapparat unterwegs als Demonstranten" (taz)</t>
  </si>
  <si>
    <t>"einige Hundert" ~300 (taz)</t>
  </si>
  <si>
    <t>JugendWiderstand</t>
  </si>
  <si>
    <t>Glückspilz</t>
  </si>
  <si>
    <t>Beliner Zeitung</t>
  </si>
  <si>
    <t>10-12k (Gluckspilz, stressfaktor)</t>
  </si>
  <si>
    <t>(no citation text)</t>
  </si>
  <si>
    <t>organisers via BZ</t>
  </si>
  <si>
    <t>"mehr als 10.000" ~ 12000 (Umbruch)</t>
  </si>
  <si>
    <t>police, via Tagesspiegel ticker 2010</t>
  </si>
  <si>
    <t>"über 10.000 TeilnehmerInnen" ~ 12000 (Umbruch archiv)</t>
  </si>
  <si>
    <t>police, via Tagesspiegel ticker</t>
  </si>
  <si>
    <t>Umbruch Archiv</t>
  </si>
  <si>
    <t>polica via BZ</t>
  </si>
  <si>
    <t>organisers, via tagesspiegel</t>
  </si>
  <si>
    <t>Umbruch (mehr als 15.000)</t>
  </si>
  <si>
    <t>Police (za BM)</t>
  </si>
  <si>
    <t>police via Tsg</t>
  </si>
  <si>
    <t>organisers, via taz</t>
  </si>
  <si>
    <t>police, taz liveticker</t>
  </si>
  <si>
    <t>organisers, taz liveticker</t>
  </si>
  <si>
    <t>police, Berliner Morgenpost ticker 2018</t>
  </si>
  <si>
    <t>organizers, umbruch archiv</t>
  </si>
  <si>
    <t>organisers, Umbruch Archiv</t>
  </si>
  <si>
    <t>press, Perspektive</t>
  </si>
  <si>
    <t>police, via Berliner Zeitung</t>
  </si>
  <si>
    <t>mehrere tausend</t>
  </si>
  <si>
    <t>police, via BM</t>
  </si>
  <si>
    <t>organizatorzy, Umbruch Archiv</t>
  </si>
  <si>
    <t>organizatorzy, via BM</t>
  </si>
  <si>
    <t>police via BM</t>
  </si>
  <si>
    <t>organizatorzy via Tsg</t>
  </si>
  <si>
    <t>organizatorzy</t>
  </si>
  <si>
    <t>(police, Gluckspilz)</t>
  </si>
  <si>
    <t>(organisers, Gluckspilz)</t>
  </si>
  <si>
    <t>policja, za rbb</t>
  </si>
  <si>
    <t>Primary source: internal DGB Berlin research workbook ('FrekwencjaDGB16.xlsx', supplied by the user). Categories: press = media reports, organisers = DGB/organiser estimates, police = police figures. 2020: cancelled (pandemic); years beyond 2019 are shown for context and fall outside the 1990-2019 scope of the rest of the workbook.</t>
  </si>
  <si>
    <t>Averaging methodology - Berlin</t>
  </si>
  <si>
    <t>For each event and year: average by press / organisers / police, and the pooled average across all sources (this is the value used in the Attendance/Events sheets)</t>
  </si>
  <si>
    <t>Average - press</t>
  </si>
  <si>
    <t>Average - organisers</t>
  </si>
  <si>
    <t>Average - police</t>
  </si>
  <si>
    <t>Number of sources (n)</t>
  </si>
  <si>
    <t>Average across all sources</t>
  </si>
  <si>
    <t>Used in Attendance/Events</t>
  </si>
  <si>
    <t>Yes</t>
  </si>
  <si>
    <t>0 (average year before and after)</t>
  </si>
  <si>
    <t>'Average across all sources' = simple mean of every cited estimate for that event/year regardless of category; this is the value feeding the Attendance and Events sheets. A blank category column = no source of that category that year.</t>
  </si>
  <si>
    <t>Source observations - attendance, Warsaw</t>
  </si>
  <si>
    <t>Individual cited press estimates behind the yearly averages (no press/organiser/police split available for Warsaw)</t>
  </si>
  <si>
    <t>Gazeta Wyborcza</t>
  </si>
  <si>
    <t>Rzeczpospolita</t>
  </si>
  <si>
    <t>TPZ</t>
  </si>
  <si>
    <t>Życie Warszawy</t>
  </si>
  <si>
    <t>Dziennik Trybuna</t>
  </si>
  <si>
    <t>Gazeta Wyborcza (dolna estymacja)</t>
  </si>
  <si>
    <t>Gazeta Wyborcza (górna estymacja)</t>
  </si>
  <si>
    <t>Dziennik Trybuna ("kilka tysięcy")</t>
  </si>
  <si>
    <t>Lewica.pl</t>
  </si>
  <si>
    <t>Wprost</t>
  </si>
  <si>
    <t>RMF.FM</t>
  </si>
  <si>
    <t>PAP</t>
  </si>
  <si>
    <t>wp.pl</t>
  </si>
  <si>
    <t>Gazeta Wyborcza (organizatorzy)</t>
  </si>
  <si>
    <r>
      <rPr>
        <rFont val="Arial"/>
        <color rgb="FF1155CC"/>
        <sz val="9.0"/>
        <u/>
      </rPr>
      <t>lewica.pl</t>
    </r>
    <r>
      <rPr>
        <rFont val="Arial"/>
        <color rgb="FF8A8178"/>
        <sz val="9.0"/>
      </rPr>
      <t>, policja</t>
    </r>
  </si>
  <si>
    <t>NTP</t>
  </si>
  <si>
    <t>Kronika Związkowa (organizatorzy)</t>
  </si>
  <si>
    <t>FZZHiM</t>
  </si>
  <si>
    <t>Przegląd Socjalistyczny</t>
  </si>
  <si>
    <t>nie odbyła się demonstracja</t>
  </si>
  <si>
    <t>Gazeta Wyborcza (policja; również wydarzenia.ostroleka.pl)</t>
  </si>
  <si>
    <r>
      <rPr>
        <rFont val="Arial"/>
        <color rgb="FF8A8178"/>
        <sz val="9.0"/>
      </rPr>
      <t xml:space="preserve">(organizatorzy, za </t>
    </r>
    <r>
      <rPr>
        <rFont val="Arial"/>
        <color rgb="FF1155CC"/>
        <sz val="9.0"/>
        <u/>
      </rPr>
      <t>wydarzenia.ostroleka.pl</t>
    </r>
    <r>
      <rPr>
        <rFont val="Arial"/>
        <color rgb="FF8A8178"/>
        <sz val="9.0"/>
      </rPr>
      <t>)</t>
    </r>
  </si>
  <si>
    <t>Polskie Radio</t>
  </si>
  <si>
    <t>Strajk.eu</t>
  </si>
  <si>
    <t>"kilka tysięcy" GW 1.05.1990</t>
  </si>
  <si>
    <t>nagrania TVP –estymacja</t>
  </si>
  <si>
    <t>Primary source: user-supplied workbook 'Warszawa1.xlsx' (Polish press citations: Gazeta Wyborcza, Rzeczpospolita, Zycie Warszawy, Dziennik Trybuna, TPZ, and others). Unlike Berlin, sources are not split into press/organisers/police categories.</t>
  </si>
  <si>
    <t>Averaging methodology - Warsaw</t>
  </si>
  <si>
    <t>For each event and year: pooled average across all cited sources (this is the value used in the Attendance/Events sheets)</t>
  </si>
  <si>
    <t>'Average across all sources' = simple arithmetic mean of every cited press estimate for that event/year. These averages are more precise than the earlier dashboard figures for some years (e.g. 1993).</t>
  </si>
  <si>
    <t>Berlin: Riot Disturbance Index (RDI) vs. turnout, 1987-2026</t>
  </si>
  <si>
    <t>Source: Polizei Berlin press releases and press reports; turnout = organiser, press &amp; police estimates</t>
  </si>
  <si>
    <t>Police deployed (Einsatz)</t>
  </si>
  <si>
    <t>Injured officers</t>
  </si>
  <si>
    <t>Arrests - May 1</t>
  </si>
  <si>
    <t>Arrests - Walpurgisnacht</t>
  </si>
  <si>
    <t>Arrests - NPD/counter-protest</t>
  </si>
  <si>
    <t>Total arrests</t>
  </si>
  <si>
    <t>Injured (normalised 0-1)</t>
  </si>
  <si>
    <t>May 1st arrests (normalised 0-1)</t>
  </si>
  <si>
    <t>Total arrests (normalised 0-1)</t>
  </si>
  <si>
    <t>RDI (raw)</t>
  </si>
  <si>
    <t>RDI (3-yr moving avg)</t>
  </si>
  <si>
    <t>Attendance R1M demonstration</t>
  </si>
  <si>
    <t>Attendance R1M demonstration (3-yr moving average)</t>
  </si>
  <si>
    <t>Moving correlation r-pearson</t>
  </si>
  <si>
    <t>RDI = 0.5 x injured_norm + 0.5 x total_arrests_norm, each min-max normalised to [0,1] over the full 1987-2026 range</t>
  </si>
  <si>
    <t>Total arrests = arrests (May 1) + arrests (Walpurgisnacht) + arrests (NPD/counter-protest) summed</t>
  </si>
  <si>
    <t>1995 police-deployment (Einsatz) figure is missing in the source; imputed with the series median (5,500)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</si>
</sst>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#,##0%"/>
    <numFmt numFmtId="166" formatCode="0.000"/>
  </numFmts>
  <fonts count="38">
    <font>
      <sz val="11.0"/>
      <color theme="1"/>
      <name val="Calibri"/>
      <scheme val="minor"/>
    </font>
    <font>
      <sz val="16.0"/>
      <color rgb="FF1A1714"/>
      <name val="Arial"/>
    </font>
    <font/>
    <font>
      <sz val="11.0"/>
      <color rgb="FF000000"/>
      <name val="Calibri"/>
    </font>
    <font>
      <sz val="10.0"/>
      <color rgb="FF8A8178"/>
      <name val="Arial"/>
    </font>
    <font>
      <sz val="10.0"/>
      <color rgb="FF1A1714"/>
      <name val="Arial"/>
    </font>
    <font>
      <sz val="16.0"/>
      <color rgb="FF5B8FB9"/>
      <name val="Arial"/>
    </font>
    <font>
      <sz val="10.0"/>
      <color rgb="FFFFFFFF"/>
      <name val="Arial"/>
    </font>
    <font>
      <sz val="10.0"/>
      <color rgb="FF5B8FB9"/>
      <name val="Arial"/>
    </font>
    <font>
      <sz val="10.0"/>
      <color rgb="FF000000"/>
      <name val="Arial"/>
    </font>
    <font>
      <sz val="9.0"/>
      <color rgb="FF8A8178"/>
      <name val="Arial"/>
    </font>
    <font>
      <sz val="16.0"/>
      <color rgb="FFE05A4A"/>
      <name val="Arial"/>
    </font>
    <font>
      <sz val="10.0"/>
      <color rgb="FFE05A4A"/>
      <name val="Arial"/>
    </font>
    <font>
      <i/>
      <sz val="9.0"/>
      <color rgb="FF999999"/>
      <name val="Arial"/>
    </font>
    <font>
      <sz val="9.0"/>
      <color rgb="FFB85C52"/>
      <name val="Arial"/>
    </font>
    <font>
      <sz val="11.0"/>
      <color theme="1"/>
      <name val="Calibri"/>
    </font>
    <font>
      <color rgb="FF8A8178"/>
      <name val="Arial"/>
    </font>
    <font>
      <color rgb="FFFFFFFF"/>
      <name val="Arial"/>
    </font>
    <font>
      <color theme="1"/>
      <name val="Arial"/>
    </font>
    <font>
      <b/>
      <sz val="16.0"/>
      <color rgb="FF5B8FB9"/>
      <name val="Arial"/>
    </font>
    <font>
      <i/>
      <sz val="10.0"/>
      <color rgb="FF8A8178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i/>
      <sz val="9.0"/>
      <color theme="1"/>
      <name val="Arial"/>
    </font>
    <font>
      <i/>
      <sz val="10.0"/>
      <color rgb="FFB85C52"/>
      <name val="Arial"/>
    </font>
    <font>
      <b/>
      <sz val="11.0"/>
      <color theme="1"/>
      <name val="Arial"/>
    </font>
    <font>
      <sz val="9.0"/>
      <color theme="1"/>
      <name val="Arial"/>
    </font>
    <font>
      <i/>
      <sz val="9.0"/>
      <color rgb="FF8A8178"/>
      <name val="Arial"/>
    </font>
    <font>
      <b/>
      <i/>
      <sz val="9.0"/>
      <color rgb="FFB85C52"/>
      <name val="Arial"/>
    </font>
    <font>
      <b/>
      <sz val="16.0"/>
      <color rgb="FFE05A4A"/>
      <name val="Arial"/>
    </font>
    <font>
      <i/>
      <sz val="9.0"/>
      <color rgb="FF999999"/>
      <name val="Calibri"/>
    </font>
    <font>
      <sz val="9.0"/>
      <color rgb="FF000000"/>
      <name val="Arial"/>
    </font>
    <font>
      <sz val="9.0"/>
      <color rgb="FF5B8FB9"/>
      <name val="Arial"/>
    </font>
    <font>
      <sz val="9.0"/>
      <color rgb="FFE05A4A"/>
      <name val="Arial"/>
    </font>
    <font>
      <u/>
      <sz val="9.0"/>
      <color rgb="FF8A8178"/>
      <name val="Arial"/>
    </font>
    <font>
      <color theme="1"/>
      <name val="Calibri"/>
    </font>
    <font>
      <b/>
      <sz val="10.0"/>
      <color rgb="FFE05A4A"/>
      <name val="Arial"/>
    </font>
    <font>
      <b/>
      <sz val="10.0"/>
      <color rgb="FF534AB7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B8FB9"/>
        <bgColor rgb="FF5B8FB9"/>
      </patternFill>
    </fill>
    <fill>
      <patternFill patternType="solid">
        <fgColor rgb="FFFBF1DE"/>
        <bgColor rgb="FFFBF1DE"/>
      </patternFill>
    </fill>
    <fill>
      <patternFill patternType="solid">
        <fgColor rgb="FFFBE4E1"/>
        <bgColor rgb="FFFBE4E1"/>
      </patternFill>
    </fill>
    <fill>
      <patternFill patternType="solid">
        <fgColor rgb="FFE05A4A"/>
        <bgColor rgb="FFE05A4A"/>
      </patternFill>
    </fill>
    <fill>
      <patternFill patternType="solid">
        <fgColor rgb="FF1A1714"/>
        <bgColor rgb="FF1A1714"/>
      </patternFill>
    </fill>
    <fill>
      <patternFill patternType="solid">
        <fgColor rgb="FF3A6186"/>
        <bgColor rgb="FF3A6186"/>
      </patternFill>
    </fill>
    <fill>
      <patternFill patternType="solid">
        <fgColor rgb="FF333333"/>
        <bgColor rgb="FF333333"/>
      </patternFill>
    </fill>
    <fill>
      <patternFill patternType="solid">
        <fgColor rgb="FF8B5E3C"/>
        <bgColor rgb="FF8B5E3C"/>
      </patternFill>
    </fill>
    <fill>
      <patternFill patternType="solid">
        <fgColor rgb="FFB450A0"/>
        <bgColor rgb="FFB450A0"/>
      </patternFill>
    </fill>
    <fill>
      <patternFill patternType="solid">
        <fgColor rgb="FF8C50A0"/>
        <bgColor rgb="FF8C50A0"/>
      </patternFill>
    </fill>
    <fill>
      <patternFill patternType="solid">
        <fgColor rgb="FF328A46"/>
        <bgColor rgb="FF328A46"/>
      </patternFill>
    </fill>
    <fill>
      <patternFill patternType="solid">
        <fgColor rgb="FF999999"/>
        <bgColor rgb="FF999999"/>
      </patternFill>
    </fill>
    <fill>
      <patternFill patternType="solid">
        <fgColor rgb="FFD4A017"/>
        <bgColor rgb="FFD4A017"/>
      </patternFill>
    </fill>
  </fills>
  <borders count="26">
    <border/>
    <border>
      <left style="thin">
        <color rgb="FFAAAAAA"/>
      </left>
      <top style="thin">
        <color rgb="FFAAAAAA"/>
      </top>
      <bottom/>
    </border>
    <border>
      <top style="thin">
        <color rgb="FFAAAAAA"/>
      </top>
      <bottom/>
    </border>
    <border>
      <right style="thin">
        <color rgb="FFAAAAAA"/>
      </right>
      <top style="thin">
        <color rgb="FFAAAAAA"/>
      </top>
      <bottom/>
    </border>
    <border>
      <left style="thin">
        <color rgb="FFAAAAAA"/>
      </left>
      <top/>
      <bottom/>
    </border>
    <border>
      <top/>
      <bottom/>
    </border>
    <border>
      <right style="thin">
        <color rgb="FFAAAAAA"/>
      </right>
      <top/>
      <bottom/>
    </border>
    <border>
      <left style="thin">
        <color rgb="FFAAAAAA"/>
      </left>
      <right/>
      <top/>
      <bottom/>
    </border>
    <border>
      <right style="thin">
        <color rgb="FFAAAAAA"/>
      </right>
    </border>
    <border>
      <left style="thin">
        <color rgb="FFAAAAAA"/>
      </left>
      <right/>
      <top/>
      <bottom style="thin">
        <color rgb="FFAAAAAA"/>
      </bottom>
    </border>
    <border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/>
      <top/>
      <bottom style="thin">
        <color rgb="FFD8D2C8"/>
      </bottom>
    </border>
    <border>
      <left/>
      <right/>
      <top/>
      <bottom style="thin">
        <color rgb="FFD8D2C8"/>
      </bottom>
    </border>
    <border>
      <left/>
      <right style="thin">
        <color rgb="FFAAAAAA"/>
      </right>
      <top/>
      <bottom style="thin">
        <color rgb="FFD8D2C8"/>
      </bottom>
    </border>
    <border>
      <left style="thin">
        <color rgb="FFD8D2C8"/>
      </left>
      <right style="thin">
        <color rgb="FFD8D2C8"/>
      </right>
      <top style="thin">
        <color rgb="FFD8D2C8"/>
      </top>
      <bottom style="thin">
        <color rgb="FFD8D2C8"/>
      </bottom>
    </border>
    <border>
      <left style="thin">
        <color rgb="FFAAAAAA"/>
      </left>
      <right/>
      <top style="thin">
        <color rgb="FFD8D2C8"/>
      </top>
      <bottom/>
    </border>
    <border>
      <left/>
      <right/>
      <top style="thin">
        <color rgb="FFD8D2C8"/>
      </top>
      <bottom/>
    </border>
    <border>
      <left/>
      <right style="thin">
        <color rgb="FFAAAAAA"/>
      </right>
      <top style="thin">
        <color rgb="FFD8D2C8"/>
      </top>
      <bottom/>
    </border>
    <border>
      <left/>
      <right/>
      <top/>
      <bottom/>
    </border>
    <border>
      <left/>
      <right style="thin">
        <color rgb="FFAAAAAA"/>
      </right>
      <top/>
      <bottom/>
    </border>
    <border>
      <left style="thin">
        <color rgb="FFAAAAAA"/>
      </left>
      <top/>
      <bottom style="thin">
        <color rgb="FFAAAAAA"/>
      </bottom>
    </border>
    <border>
      <top/>
      <bottom style="thin">
        <color rgb="FFAAAAAA"/>
      </bottom>
    </border>
    <border>
      <right style="thin">
        <color rgb="FFAAAAAA"/>
      </right>
      <top/>
      <bottom style="thin">
        <color rgb="FFAAAAAA"/>
      </bottom>
    </border>
    <border>
      <right style="thin">
        <color rgb="FFAAAAAA"/>
      </right>
      <top style="thin">
        <color rgb="FFAAAAAA"/>
      </top>
    </border>
    <border>
      <left style="thin">
        <color rgb="FFD8D2C8"/>
      </left>
      <right style="thin">
        <color rgb="FFAAAAAA"/>
      </right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2" fontId="4" numFmtId="49" xfId="0" applyAlignment="1" applyBorder="1" applyFill="1" applyFont="1" applyNumberFormat="1">
      <alignment vertical="bottom"/>
    </xf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ill="1" applyFont="1">
      <alignment vertical="bottom"/>
    </xf>
    <xf borderId="8" fillId="0" fontId="3" numFmtId="0" xfId="0" applyAlignment="1" applyBorder="1" applyFont="1">
      <alignment vertical="bottom"/>
    </xf>
    <xf borderId="7" fillId="2" fontId="4" numFmtId="1" xfId="0" applyAlignment="1" applyBorder="1" applyFill="1" applyFont="1" applyNumberFormat="1">
      <alignment vertical="bottom"/>
    </xf>
    <xf borderId="7" fillId="2" fontId="5" numFmtId="49" xfId="0" applyAlignment="1" applyBorder="1" applyFill="1" applyFont="1" applyNumberFormat="1">
      <alignment vertical="bottom"/>
    </xf>
    <xf borderId="7" fillId="2" fontId="4" numFmtId="49" xfId="0" applyAlignment="1" applyBorder="1" applyFill="1" applyFont="1" applyNumberFormat="1">
      <alignment vertical="bottom"/>
    </xf>
    <xf borderId="9" fillId="2" fontId="5" numFmtId="49" xfId="0" applyAlignment="1" applyBorder="1" applyFill="1" applyFont="1" applyNumberFormat="1">
      <alignment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" fillId="2" fontId="6" numFmtId="49" xfId="0" applyAlignment="1" applyBorder="1" applyFill="1" applyFont="1" applyNumberFormat="1">
      <alignment vertical="bottom"/>
    </xf>
    <xf borderId="12" fillId="2" fontId="3" numFmtId="0" xfId="0" applyAlignment="1" applyBorder="1" applyFill="1" applyFont="1">
      <alignment vertical="bottom"/>
    </xf>
    <xf borderId="13" fillId="2" fontId="3" numFmtId="0" xfId="0" applyAlignment="1" applyBorder="1" applyFill="1" applyFont="1">
      <alignment vertical="bottom"/>
    </xf>
    <xf borderId="14" fillId="2" fontId="3" numFmtId="0" xfId="0" applyAlignment="1" applyBorder="1" applyFill="1" applyFont="1">
      <alignment vertical="bottom"/>
    </xf>
    <xf borderId="15" fillId="3" fontId="7" numFmtId="49" xfId="0" applyAlignment="1" applyBorder="1" applyFill="1" applyFont="1" applyNumberFormat="1">
      <alignment horizontal="center" shrinkToFit="0" vertical="center" wrapText="1"/>
    </xf>
    <xf borderId="15" fillId="2" fontId="3" numFmtId="1" xfId="0" applyAlignment="1" applyBorder="1" applyFill="1" applyFont="1" applyNumberFormat="1">
      <alignment horizontal="center" vertical="bottom"/>
    </xf>
    <xf borderId="15" fillId="2" fontId="4" numFmtId="49" xfId="0" applyAlignment="1" applyBorder="1" applyFill="1" applyFont="1" applyNumberFormat="1">
      <alignment vertical="bottom"/>
    </xf>
    <xf borderId="15" fillId="2" fontId="8" numFmtId="3" xfId="0" applyAlignment="1" applyBorder="1" applyFill="1" applyFont="1" applyNumberFormat="1">
      <alignment horizontal="center" vertical="bottom"/>
    </xf>
    <xf borderId="15" fillId="2" fontId="3" numFmtId="3" xfId="0" applyAlignment="1" applyBorder="1" applyFill="1" applyFont="1" applyNumberFormat="1">
      <alignment horizontal="center" vertical="bottom"/>
    </xf>
    <xf borderId="15" fillId="2" fontId="3" numFmtId="164" xfId="0" applyAlignment="1" applyBorder="1" applyFill="1" applyFont="1" applyNumberFormat="1">
      <alignment horizontal="center" vertical="bottom"/>
    </xf>
    <xf borderId="15" fillId="2" fontId="3" numFmtId="165" xfId="0" applyAlignment="1" applyBorder="1" applyFill="1" applyFont="1" applyNumberFormat="1">
      <alignment horizontal="center" vertical="bottom"/>
    </xf>
    <xf borderId="15" fillId="4" fontId="3" numFmtId="1" xfId="0" applyAlignment="1" applyBorder="1" applyFill="1" applyFont="1" applyNumberFormat="1">
      <alignment horizontal="center" vertical="bottom"/>
    </xf>
    <xf borderId="15" fillId="5" fontId="3" numFmtId="1" xfId="0" applyAlignment="1" applyBorder="1" applyFill="1" applyFont="1" applyNumberFormat="1">
      <alignment horizontal="center" vertical="bottom"/>
    </xf>
    <xf borderId="16" fillId="2" fontId="3" numFmtId="0" xfId="0" applyAlignment="1" applyBorder="1" applyFill="1" applyFont="1">
      <alignment vertical="bottom"/>
    </xf>
    <xf borderId="17" fillId="2" fontId="3" numFmtId="0" xfId="0" applyAlignment="1" applyBorder="1" applyFill="1" applyFont="1">
      <alignment vertical="bottom"/>
    </xf>
    <xf borderId="18" fillId="2" fontId="3" numFmtId="0" xfId="0" applyAlignment="1" applyBorder="1" applyFill="1" applyFont="1">
      <alignment vertical="bottom"/>
    </xf>
    <xf borderId="19" fillId="2" fontId="3" numFmtId="0" xfId="0" applyAlignment="1" applyBorder="1" applyFill="1" applyFont="1">
      <alignment vertical="bottom"/>
    </xf>
    <xf borderId="19" fillId="2" fontId="9" numFmtId="49" xfId="0" applyAlignment="1" applyBorder="1" applyFill="1" applyFont="1" applyNumberFormat="1">
      <alignment vertical="bottom"/>
    </xf>
    <xf borderId="19" fillId="2" fontId="8" numFmtId="3" xfId="0" applyAlignment="1" applyBorder="1" applyFill="1" applyFont="1" applyNumberFormat="1">
      <alignment vertical="bottom"/>
    </xf>
    <xf borderId="20" fillId="2" fontId="3" numFmtId="0" xfId="0" applyAlignment="1" applyBorder="1" applyFill="1" applyFont="1">
      <alignment vertical="bottom"/>
    </xf>
    <xf borderId="21" fillId="2" fontId="10" numFmtId="49" xfId="0" applyAlignment="1" applyBorder="1" applyFill="1" applyFont="1" applyNumberFormat="1">
      <alignment vertical="bottom"/>
    </xf>
    <xf borderId="22" fillId="0" fontId="2" numFmtId="0" xfId="0" applyBorder="1" applyFont="1"/>
    <xf borderId="23" fillId="0" fontId="2" numFmtId="0" xfId="0" applyBorder="1" applyFont="1"/>
    <xf borderId="1" fillId="2" fontId="11" numFmtId="49" xfId="0" applyAlignment="1" applyBorder="1" applyFill="1" applyFont="1" applyNumberFormat="1">
      <alignment vertical="bottom"/>
    </xf>
    <xf borderId="15" fillId="6" fontId="7" numFmtId="49" xfId="0" applyAlignment="1" applyBorder="1" applyFill="1" applyFont="1" applyNumberFormat="1">
      <alignment horizontal="center" shrinkToFit="0" vertical="center" wrapText="1"/>
    </xf>
    <xf borderId="15" fillId="2" fontId="12" numFmtId="3" xfId="0" applyAlignment="1" applyBorder="1" applyFill="1" applyFont="1" applyNumberFormat="1">
      <alignment horizontal="center" vertical="bottom"/>
    </xf>
    <xf borderId="19" fillId="2" fontId="12" numFmtId="3" xfId="0" applyAlignment="1" applyBorder="1" applyFill="1" applyFont="1" applyNumberFormat="1">
      <alignment vertical="bottom"/>
    </xf>
    <xf borderId="4" fillId="2" fontId="13" numFmtId="49" xfId="0" applyAlignment="1" applyBorder="1" applyFill="1" applyFont="1" applyNumberFormat="1">
      <alignment vertical="bottom"/>
    </xf>
    <xf borderId="4" fillId="2" fontId="14" numFmtId="49" xfId="0" applyAlignment="1" applyBorder="1" applyFill="1" applyFont="1" applyNumberFormat="1">
      <alignment vertical="bottom"/>
    </xf>
    <xf borderId="15" fillId="7" fontId="7" numFmtId="49" xfId="0" applyAlignment="1" applyBorder="1" applyFill="1" applyFont="1" applyNumberFormat="1">
      <alignment horizontal="center" shrinkToFit="0" vertical="center" wrapText="1"/>
    </xf>
    <xf borderId="15" fillId="2" fontId="8" numFmtId="1" xfId="0" applyAlignment="1" applyBorder="1" applyFill="1" applyFont="1" applyNumberFormat="1">
      <alignment vertical="bottom"/>
    </xf>
    <xf borderId="15" fillId="2" fontId="3" numFmtId="1" xfId="0" applyAlignment="1" applyBorder="1" applyFill="1" applyFont="1" applyNumberFormat="1">
      <alignment vertical="bottom"/>
    </xf>
    <xf borderId="15" fillId="2" fontId="12" numFmtId="1" xfId="0" applyAlignment="1" applyBorder="1" applyFill="1" applyFont="1" applyNumberFormat="1">
      <alignment vertical="bottom"/>
    </xf>
    <xf borderId="0" fillId="0" fontId="15" numFmtId="0" xfId="0" applyAlignment="1" applyFont="1">
      <alignment vertical="bottom"/>
    </xf>
    <xf borderId="4" fillId="2" fontId="16" numFmtId="49" xfId="0" applyAlignment="1" applyBorder="1" applyFill="1" applyFont="1" applyNumberFormat="1">
      <alignment vertical="bottom"/>
    </xf>
    <xf borderId="12" fillId="2" fontId="15" numFmtId="0" xfId="0" applyAlignment="1" applyBorder="1" applyFill="1" applyFont="1">
      <alignment vertical="bottom"/>
    </xf>
    <xf borderId="13" fillId="2" fontId="15" numFmtId="0" xfId="0" applyAlignment="1" applyBorder="1" applyFill="1" applyFont="1">
      <alignment vertical="bottom"/>
    </xf>
    <xf borderId="14" fillId="2" fontId="15" numFmtId="0" xfId="0" applyAlignment="1" applyBorder="1" applyFill="1" applyFont="1">
      <alignment vertical="bottom"/>
    </xf>
    <xf borderId="15" fillId="3" fontId="17" numFmtId="49" xfId="0" applyAlignment="1" applyBorder="1" applyFill="1" applyFont="1" applyNumberFormat="1">
      <alignment horizontal="center" shrinkToFit="0" wrapText="1"/>
    </xf>
    <xf borderId="15" fillId="8" fontId="17" numFmtId="49" xfId="0" applyAlignment="1" applyBorder="1" applyFill="1" applyFont="1" applyNumberFormat="1">
      <alignment horizontal="center" shrinkToFit="0" wrapText="1"/>
    </xf>
    <xf borderId="15" fillId="9" fontId="17" numFmtId="49" xfId="0" applyAlignment="1" applyBorder="1" applyFill="1" applyFont="1" applyNumberFormat="1">
      <alignment horizontal="center" shrinkToFit="0" wrapText="1"/>
    </xf>
    <xf borderId="15" fillId="10" fontId="17" numFmtId="49" xfId="0" applyAlignment="1" applyBorder="1" applyFill="1" applyFont="1" applyNumberFormat="1">
      <alignment horizontal="center" shrinkToFit="0" wrapText="1"/>
    </xf>
    <xf borderId="15" fillId="11" fontId="17" numFmtId="49" xfId="0" applyAlignment="1" applyBorder="1" applyFill="1" applyFont="1" applyNumberFormat="1">
      <alignment horizontal="center" shrinkToFit="0" wrapText="1"/>
    </xf>
    <xf borderId="15" fillId="2" fontId="15" numFmtId="1" xfId="0" applyAlignment="1" applyBorder="1" applyFill="1" applyFont="1" applyNumberFormat="1">
      <alignment horizontal="center" vertical="bottom"/>
    </xf>
    <xf borderId="15" fillId="2" fontId="15" numFmtId="3" xfId="0" applyAlignment="1" applyBorder="1" applyFill="1" applyFont="1" applyNumberFormat="1">
      <alignment horizontal="center" vertical="bottom"/>
    </xf>
    <xf borderId="15" fillId="2" fontId="15" numFmtId="3" xfId="0" applyAlignment="1" applyBorder="1" applyFill="1" applyFont="1" applyNumberFormat="1">
      <alignment vertical="bottom"/>
    </xf>
    <xf borderId="15" fillId="2" fontId="18" numFmtId="3" xfId="0" applyAlignment="1" applyBorder="1" applyFill="1" applyFont="1" applyNumberFormat="1">
      <alignment horizontal="center" vertical="bottom"/>
    </xf>
    <xf borderId="0" fillId="0" fontId="15" numFmtId="3" xfId="0" applyAlignment="1" applyFont="1" applyNumberFormat="1">
      <alignment vertical="bottom"/>
    </xf>
    <xf borderId="16" fillId="2" fontId="15" numFmtId="0" xfId="0" applyAlignment="1" applyBorder="1" applyFill="1" applyFont="1">
      <alignment vertical="bottom"/>
    </xf>
    <xf borderId="17" fillId="2" fontId="15" numFmtId="0" xfId="0" applyAlignment="1" applyBorder="1" applyFill="1" applyFont="1">
      <alignment vertical="bottom"/>
    </xf>
    <xf borderId="18" fillId="2" fontId="15" numFmtId="0" xfId="0" applyAlignment="1" applyBorder="1" applyFill="1" applyFont="1">
      <alignment vertical="bottom"/>
    </xf>
    <xf borderId="7" fillId="2" fontId="18" numFmtId="49" xfId="0" applyAlignment="1" applyBorder="1" applyFill="1" applyFont="1" applyNumberFormat="1">
      <alignment vertical="bottom"/>
    </xf>
    <xf borderId="19" fillId="2" fontId="15" numFmtId="0" xfId="0" applyAlignment="1" applyBorder="1" applyFill="1" applyFont="1">
      <alignment vertical="bottom"/>
    </xf>
    <xf borderId="20" fillId="2" fontId="15" numFmtId="0" xfId="0" applyAlignment="1" applyBorder="1" applyFill="1" applyFont="1">
      <alignment vertical="bottom"/>
    </xf>
    <xf borderId="7" fillId="2" fontId="10" numFmtId="49" xfId="0" applyAlignment="1" applyBorder="1" applyFill="1" applyFont="1" applyNumberFormat="1">
      <alignment vertical="bottom"/>
    </xf>
    <xf borderId="19" fillId="2" fontId="15" numFmtId="3" xfId="0" applyAlignment="1" applyBorder="1" applyFill="1" applyFont="1" applyNumberFormat="1">
      <alignment horizontal="right" vertical="bottom"/>
    </xf>
    <xf borderId="19" fillId="2" fontId="10" numFmtId="1" xfId="0" applyAlignment="1" applyBorder="1" applyFill="1" applyFont="1" applyNumberFormat="1">
      <alignment horizontal="right" vertical="bottom"/>
    </xf>
    <xf borderId="19" fillId="2" fontId="10" numFmtId="49" xfId="0" applyAlignment="1" applyBorder="1" applyFill="1" applyFont="1" applyNumberFormat="1">
      <alignment vertical="bottom"/>
    </xf>
    <xf borderId="7" fillId="2" fontId="15" numFmtId="0" xfId="0" applyAlignment="1" applyBorder="1" applyFill="1" applyFont="1">
      <alignment vertical="bottom"/>
    </xf>
    <xf borderId="15" fillId="6" fontId="17" numFmtId="49" xfId="0" applyAlignment="1" applyBorder="1" applyFill="1" applyFont="1" applyNumberFormat="1">
      <alignment horizontal="center" shrinkToFit="0" wrapText="1"/>
    </xf>
    <xf borderId="15" fillId="12" fontId="17" numFmtId="49" xfId="0" applyAlignment="1" applyBorder="1" applyFill="1" applyFont="1" applyNumberFormat="1">
      <alignment horizontal="center" shrinkToFit="0" wrapText="1"/>
    </xf>
    <xf borderId="15" fillId="13" fontId="17" numFmtId="49" xfId="0" applyAlignment="1" applyBorder="1" applyFill="1" applyFont="1" applyNumberFormat="1">
      <alignment horizontal="center" shrinkToFit="0" wrapText="1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15" fillId="3" fontId="21" numFmtId="0" xfId="0" applyAlignment="1" applyBorder="1" applyFill="1" applyFont="1">
      <alignment horizontal="center" shrinkToFit="0" vertical="center" wrapText="1"/>
    </xf>
    <xf borderId="15" fillId="8" fontId="21" numFmtId="0" xfId="0" applyAlignment="1" applyBorder="1" applyFill="1" applyFont="1">
      <alignment horizontal="center" shrinkToFit="0" vertical="center" wrapText="1"/>
    </xf>
    <xf borderId="15" fillId="13" fontId="21" numFmtId="0" xfId="0" applyAlignment="1" applyBorder="1" applyFill="1" applyFont="1">
      <alignment horizontal="center" shrinkToFit="0" vertical="center" wrapText="1"/>
    </xf>
    <xf borderId="15" fillId="12" fontId="21" numFmtId="0" xfId="0" applyAlignment="1" applyBorder="1" applyFill="1" applyFont="1">
      <alignment horizontal="center" shrinkToFit="0" vertical="center" wrapText="1"/>
    </xf>
    <xf borderId="15" fillId="11" fontId="21" numFmtId="0" xfId="0" applyAlignment="1" applyBorder="1" applyFill="1" applyFont="1">
      <alignment horizontal="center" shrinkToFit="0" vertical="center" wrapText="1"/>
    </xf>
    <xf borderId="15" fillId="10" fontId="21" numFmtId="0" xfId="0" applyAlignment="1" applyBorder="1" applyFill="1" applyFont="1">
      <alignment horizontal="center" shrinkToFit="0" vertical="center" wrapText="1"/>
    </xf>
    <xf borderId="15" fillId="6" fontId="21" numFmtId="0" xfId="0" applyAlignment="1" applyBorder="1" applyFill="1" applyFont="1">
      <alignment horizontal="center" shrinkToFit="0" vertical="center" wrapText="1"/>
    </xf>
    <xf borderId="15" fillId="14" fontId="21" numFmtId="0" xfId="0" applyAlignment="1" applyBorder="1" applyFill="1" applyFont="1">
      <alignment horizontal="center" shrinkToFit="0" vertical="center" wrapText="1"/>
    </xf>
    <xf borderId="15" fillId="15" fontId="21" numFmtId="0" xfId="0" applyAlignment="1" applyBorder="1" applyFill="1" applyFont="1">
      <alignment horizontal="center" shrinkToFit="0" vertical="center" wrapText="1"/>
    </xf>
    <xf borderId="15" fillId="0" fontId="15" numFmtId="0" xfId="0" applyAlignment="1" applyBorder="1" applyFont="1">
      <alignment horizontal="center" shrinkToFit="0" vertical="bottom" wrapText="0"/>
    </xf>
    <xf borderId="15" fillId="0" fontId="22" numFmtId="0" xfId="0" applyAlignment="1" applyBorder="1" applyFont="1">
      <alignment horizontal="center" shrinkToFit="0" vertical="bottom" wrapText="0"/>
    </xf>
    <xf borderId="15" fillId="0" fontId="23" numFmtId="0" xfId="0" applyAlignment="1" applyBorder="1" applyFont="1">
      <alignment shrinkToFit="0" vertical="bottom" wrapText="0"/>
    </xf>
    <xf borderId="15" fillId="0" fontId="24" numFmtId="0" xfId="0" applyAlignment="1" applyBorder="1" applyFont="1">
      <alignment horizontal="center" shrinkToFit="0" vertical="bottom" wrapText="0"/>
    </xf>
    <xf borderId="0" fillId="0" fontId="25" numFmtId="0" xfId="0" applyAlignment="1" applyFont="1">
      <alignment shrinkToFit="0" vertical="bottom" wrapText="0"/>
    </xf>
    <xf borderId="15" fillId="0" fontId="26" numFmtId="0" xfId="0" applyAlignment="1" applyBorder="1" applyFont="1">
      <alignment shrinkToFit="0" vertical="bottom" wrapText="0"/>
    </xf>
    <xf borderId="15" fillId="0" fontId="15" numFmtId="2" xfId="0" applyAlignment="1" applyBorder="1" applyFont="1" applyNumberFormat="1">
      <alignment horizontal="center" shrinkToFit="0" vertical="bottom" wrapText="0"/>
    </xf>
    <xf borderId="15" fillId="0" fontId="15" numFmtId="164" xfId="0" applyAlignment="1" applyBorder="1" applyFont="1" applyNumberFormat="1">
      <alignment horizontal="center" shrinkToFit="0" vertical="bottom" wrapText="0"/>
    </xf>
    <xf borderId="15" fillId="0" fontId="22" numFmtId="0" xfId="0" applyAlignment="1" applyBorder="1" applyFont="1">
      <alignment shrinkToFit="0" vertical="bottom" wrapText="0"/>
    </xf>
    <xf borderId="15" fillId="0" fontId="15" numFmtId="0" xfId="0" applyAlignment="1" applyBorder="1" applyFont="1">
      <alignment shrinkToFit="0" vertical="bottom" wrapText="0"/>
    </xf>
    <xf quotePrefix="1" borderId="0" fillId="0" fontId="27" numFmtId="0" xfId="0" applyAlignment="1" applyFont="1">
      <alignment shrinkToFit="0" vertical="bottom" wrapText="0"/>
    </xf>
    <xf borderId="0" fillId="0" fontId="28" numFmtId="0" xfId="0" applyAlignment="1" applyFont="1">
      <alignment shrinkToFit="0" vertical="bottom" wrapText="0"/>
    </xf>
    <xf borderId="0" fillId="0" fontId="29" numFmtId="0" xfId="0" applyAlignment="1" applyFont="1">
      <alignment shrinkToFit="0" vertical="bottom" wrapText="0"/>
    </xf>
    <xf borderId="0" fillId="0" fontId="30" numFmtId="0" xfId="0" applyFont="1"/>
    <xf borderId="0" fillId="0" fontId="27" numFmtId="0" xfId="0" applyAlignment="1" applyFont="1">
      <alignment shrinkToFit="0" vertical="bottom" wrapText="0"/>
    </xf>
    <xf borderId="15" fillId="2" fontId="31" numFmtId="49" xfId="0" applyAlignment="1" applyBorder="1" applyFill="1" applyFont="1" applyNumberFormat="1">
      <alignment vertical="bottom"/>
    </xf>
    <xf borderId="15" fillId="2" fontId="32" numFmtId="49" xfId="0" applyAlignment="1" applyBorder="1" applyFill="1" applyFont="1" applyNumberFormat="1">
      <alignment horizontal="center" vertical="bottom"/>
    </xf>
    <xf borderId="15" fillId="2" fontId="10" numFmtId="49" xfId="0" applyAlignment="1" applyBorder="1" applyFill="1" applyFont="1" applyNumberFormat="1">
      <alignment vertical="bottom"/>
    </xf>
    <xf borderId="15" fillId="2" fontId="33" numFmtId="49" xfId="0" applyAlignment="1" applyBorder="1" applyFill="1" applyFont="1" applyNumberFormat="1">
      <alignment horizontal="center" vertical="bottom"/>
    </xf>
    <xf borderId="15" fillId="2" fontId="10" numFmtId="49" xfId="0" applyAlignment="1" applyBorder="1" applyFill="1" applyFont="1" applyNumberFormat="1">
      <alignment horizontal="center" vertical="bottom"/>
    </xf>
    <xf borderId="15" fillId="2" fontId="3" numFmtId="0" xfId="0" applyAlignment="1" applyBorder="1" applyFill="1" applyFont="1">
      <alignment horizontal="center" vertical="bottom"/>
    </xf>
    <xf borderId="24" fillId="0" fontId="3" numFmtId="0" xfId="0" applyAlignment="1" applyBorder="1" applyFont="1">
      <alignment vertical="bottom"/>
    </xf>
    <xf borderId="25" fillId="0" fontId="3" numFmtId="0" xfId="0" applyAlignment="1" applyBorder="1" applyFont="1">
      <alignment vertical="bottom"/>
    </xf>
    <xf borderId="15" fillId="2" fontId="34" numFmtId="49" xfId="0" applyAlignment="1" applyBorder="1" applyFill="1" applyFont="1" applyNumberFormat="1">
      <alignment vertical="bottom"/>
    </xf>
    <xf borderId="0" fillId="0" fontId="35" numFmtId="0" xfId="0" applyFont="1"/>
    <xf borderId="15" fillId="0" fontId="15" numFmtId="3" xfId="0" applyAlignment="1" applyBorder="1" applyFont="1" applyNumberFormat="1">
      <alignment horizontal="center" shrinkToFit="0" vertical="bottom" wrapText="0"/>
    </xf>
    <xf borderId="15" fillId="0" fontId="22" numFmtId="3" xfId="0" applyAlignment="1" applyBorder="1" applyFont="1" applyNumberFormat="1">
      <alignment horizontal="center" shrinkToFit="0" vertical="bottom" wrapText="0"/>
    </xf>
    <xf borderId="15" fillId="0" fontId="15" numFmtId="166" xfId="0" applyAlignment="1" applyBorder="1" applyFont="1" applyNumberFormat="1">
      <alignment horizontal="center" shrinkToFit="0" vertical="bottom" wrapText="0"/>
    </xf>
    <xf borderId="15" fillId="0" fontId="36" numFmtId="166" xfId="0" applyAlignment="1" applyBorder="1" applyFont="1" applyNumberFormat="1">
      <alignment horizontal="center" shrinkToFit="0" vertical="bottom" wrapText="0"/>
    </xf>
    <xf borderId="15" fillId="0" fontId="37" numFmtId="166" xfId="0" applyAlignment="1" applyBorder="1" applyFont="1" applyNumberFormat="1">
      <alignment horizontal="center" shrinkToFit="0" vertical="bottom" wrapText="0"/>
    </xf>
    <xf borderId="0" fillId="0" fontId="35" numFmtId="2" xfId="0" applyFont="1" applyNumberFormat="1"/>
    <xf borderId="15" fillId="0" fontId="24" numFmtId="3" xfId="0" applyAlignment="1" applyBorder="1" applyFont="1" applyNumberFormat="1">
      <alignment horizontal="center" shrinkToFit="0" vertical="bottom" wrapText="0"/>
    </xf>
    <xf borderId="0" fillId="0" fontId="22" numFmtId="0" xfId="0" applyAlignment="1" applyFont="1">
      <alignment shrinkToFit="0" vertical="bottom" wrapText="0"/>
    </xf>
    <xf borderId="0" fillId="0" fontId="36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'Attendance - Warsaw'!$G$4</c:f>
            </c:strRef>
          </c:tx>
          <c:spPr>
            <a:ln cmpd="sng" w="38100">
              <a:solidFill>
                <a:srgbClr val="4A86E8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'Attendance - Warsaw'!$A$5:$A$34</c:f>
            </c:strRef>
          </c:cat>
          <c:val>
            <c:numRef>
              <c:f>'Attendance - Warsaw'!$G$5:$G$34</c:f>
              <c:numCache/>
            </c:numRef>
          </c:val>
          <c:smooth val="0"/>
        </c:ser>
        <c:ser>
          <c:idx val="1"/>
          <c:order val="1"/>
          <c:tx>
            <c:strRef>
              <c:f>'Attendance - Warsaw'!$F$4</c:f>
            </c:strRef>
          </c:tx>
          <c:spPr>
            <a:ln cmpd="sng" w="19050">
              <a:solidFill>
                <a:srgbClr val="4A86E8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'Attendance - Warsaw'!$A$5:$A$34</c:f>
            </c:strRef>
          </c:cat>
          <c:val>
            <c:numRef>
              <c:f>'Attendance - Warsaw'!$F$5:$F$34</c:f>
              <c:numCache/>
            </c:numRef>
          </c:val>
          <c:smooth val="0"/>
        </c:ser>
        <c:axId val="1960205674"/>
        <c:axId val="1739403645"/>
      </c:lineChart>
      <c:catAx>
        <c:axId val="1960205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39403645"/>
      </c:catAx>
      <c:valAx>
        <c:axId val="1739403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6020567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'Attendance - Berlin'!$G$4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'Attendance - Berlin'!$A$5:$A$34</c:f>
            </c:strRef>
          </c:cat>
          <c:val>
            <c:numRef>
              <c:f>'Attendance - Berlin'!$G$5:$G$34</c:f>
              <c:numCache/>
            </c:numRef>
          </c:val>
          <c:smooth val="0"/>
        </c:ser>
        <c:ser>
          <c:idx val="1"/>
          <c:order val="1"/>
          <c:tx>
            <c:strRef>
              <c:f>'Attendance - Berlin'!$F$4</c:f>
            </c:strRef>
          </c:tx>
          <c:spPr>
            <a:ln cmpd="sng" w="19050">
              <a:solidFill>
                <a:srgbClr val="CC0000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'Attendance - Berlin'!$A$5:$A$34</c:f>
            </c:strRef>
          </c:cat>
          <c:val>
            <c:numRef>
              <c:f>'Attendance - Berlin'!$F$5:$F$34</c:f>
              <c:numCache/>
            </c:numRef>
          </c:val>
          <c:smooth val="0"/>
        </c:ser>
        <c:axId val="18634695"/>
        <c:axId val="1042632411"/>
      </c:lineChart>
      <c:catAx>
        <c:axId val="18634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42632411"/>
      </c:catAx>
      <c:valAx>
        <c:axId val="1042632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63469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OPZZ / trade unions (main march) i Total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'Events - Warsaw'!$B$4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'Events - Warsaw'!$A$5:$A$34</c:f>
            </c:strRef>
          </c:cat>
          <c:val>
            <c:numRef>
              <c:f>'Events - Warsaw'!$B$5:$B$34</c:f>
              <c:numCache/>
            </c:numRef>
          </c:val>
        </c:ser>
        <c:ser>
          <c:idx val="1"/>
          <c:order val="1"/>
          <c:tx>
            <c:strRef>
              <c:f>'Events - Warsaw'!$K$4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'Events - Warsaw'!$A$5:$A$34</c:f>
            </c:strRef>
          </c:cat>
          <c:val>
            <c:numRef>
              <c:f>'Events - Warsaw'!$K$5:$K$34</c:f>
              <c:numCache/>
            </c:numRef>
          </c:val>
        </c:ser>
        <c:ser>
          <c:idx val="2"/>
          <c:order val="2"/>
          <c:tx>
            <c:strRef>
              <c:f>'Events - Warsaw'!$J$4</c:f>
            </c:strRef>
          </c:tx>
          <c:spPr>
            <a:solidFill>
              <a:schemeClr val="l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'Events - Warsaw'!$A$5:$A$34</c:f>
            </c:strRef>
          </c:cat>
          <c:val>
            <c:numRef>
              <c:f>'Events - Warsaw'!$J$5:$J$34</c:f>
              <c:numCache/>
            </c:numRef>
          </c:val>
        </c:ser>
        <c:overlap val="100"/>
        <c:axId val="1402056123"/>
        <c:axId val="2010150035"/>
      </c:barChart>
      <c:catAx>
        <c:axId val="1402056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10150035"/>
      </c:catAx>
      <c:valAx>
        <c:axId val="2010150035"/>
        <c:scaling>
          <c:orientation val="minMax"/>
          <c:max val="10000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0205612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'Events - Berlin'!$B$4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'Events - Berlin'!$B$5:$B$34</c:f>
              <c:numCache/>
            </c:numRef>
          </c:val>
        </c:ser>
        <c:ser>
          <c:idx val="1"/>
          <c:order val="1"/>
          <c:tx>
            <c:strRef>
              <c:f>'Events - Berlin'!$O$4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'Events - Berlin'!$O$5:$O$34</c:f>
              <c:numCache/>
            </c:numRef>
          </c:val>
        </c:ser>
        <c:ser>
          <c:idx val="2"/>
          <c:order val="2"/>
          <c:tx>
            <c:strRef>
              <c:f>'Events - Berlin'!$N$4</c:f>
            </c:strRef>
          </c:tx>
          <c:spPr>
            <a:solidFill>
              <a:schemeClr val="l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'Events - Berlin'!$N$5:$N$34</c:f>
              <c:numCache/>
            </c:numRef>
          </c:val>
        </c:ser>
        <c:overlap val="100"/>
        <c:axId val="378473660"/>
        <c:axId val="921672136"/>
      </c:barChart>
      <c:catAx>
        <c:axId val="378473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21672136"/>
      </c:catAx>
      <c:valAx>
        <c:axId val="921672136"/>
        <c:scaling>
          <c:orientation val="minMax"/>
          <c:max val="10000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7847366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Event-type composition by year - Warsaw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Demonstrations</c:v>
          </c:tx>
          <c:spPr>
            <a:solidFill>
              <a:srgbClr val="4672A8"/>
            </a:solidFill>
            <a:ln cmpd="sng">
              <a:noFill/>
            </a:ln>
          </c:spPr>
          <c:invertIfNegative val="0"/>
          <c:cat>
            <c:strRef>
              <c:f>'Event Types - Warsaw'!$A$5:$A$34</c:f>
            </c:strRef>
          </c:cat>
          <c:val>
            <c:numRef>
              <c:f>'Event Types - Warsaw'!$C$5:$C$34</c:f>
              <c:numCache/>
            </c:numRef>
          </c:val>
        </c:ser>
        <c:ser>
          <c:idx val="1"/>
          <c:order val="1"/>
          <c:tx>
            <c:v>Festivals</c:v>
          </c:tx>
          <c:spPr>
            <a:solidFill>
              <a:srgbClr val="AB4744"/>
            </a:solidFill>
            <a:ln cmpd="sng">
              <a:noFill/>
            </a:ln>
          </c:spPr>
          <c:invertIfNegative val="0"/>
          <c:cat>
            <c:strRef>
              <c:f>'Event Types - Warsaw'!$A$5:$A$34</c:f>
            </c:strRef>
          </c:cat>
          <c:val>
            <c:numRef>
              <c:f>'Event Types - Warsaw'!$D$5:$D$34</c:f>
              <c:numCache/>
            </c:numRef>
          </c:val>
        </c:ser>
        <c:ser>
          <c:idx val="2"/>
          <c:order val="2"/>
          <c:tx>
            <c:v>Commemorations</c:v>
          </c:tx>
          <c:spPr>
            <a:solidFill>
              <a:srgbClr val="8AA64F"/>
            </a:solidFill>
            <a:ln cmpd="sng">
              <a:noFill/>
            </a:ln>
          </c:spPr>
          <c:invertIfNegative val="0"/>
          <c:cat>
            <c:strRef>
              <c:f>'Event Types - Warsaw'!$A$5:$A$34</c:f>
            </c:strRef>
          </c:cat>
          <c:val>
            <c:numRef>
              <c:f>'Event Types - Warsaw'!$E$5:$E$34</c:f>
              <c:numCache/>
            </c:numRef>
          </c:val>
        </c:ser>
        <c:ser>
          <c:idx val="3"/>
          <c:order val="3"/>
          <c:tx>
            <c:v>Rallies</c:v>
          </c:tx>
          <c:spPr>
            <a:solidFill>
              <a:srgbClr val="725990"/>
            </a:solidFill>
            <a:ln cmpd="sng">
              <a:noFill/>
            </a:ln>
          </c:spPr>
          <c:invertIfNegative val="0"/>
          <c:cat>
            <c:strRef>
              <c:f>'Event Types - Warsaw'!$A$5:$A$34</c:f>
            </c:strRef>
          </c:cat>
          <c:val>
            <c:numRef>
              <c:f>'Event Types - Warsaw'!$F$5:$F$34</c:f>
              <c:numCache/>
            </c:numRef>
          </c:val>
        </c:ser>
        <c:ser>
          <c:idx val="4"/>
          <c:order val="4"/>
          <c:tx>
            <c:v>Counter-demonstrations</c:v>
          </c:tx>
          <c:spPr>
            <a:solidFill>
              <a:srgbClr val="4299B0"/>
            </a:solidFill>
            <a:ln cmpd="sng">
              <a:noFill/>
            </a:ln>
          </c:spPr>
          <c:invertIfNegative val="0"/>
          <c:cat>
            <c:strRef>
              <c:f>'Event Types - Warsaw'!$A$5:$A$34</c:f>
            </c:strRef>
          </c:cat>
          <c:val>
            <c:numRef>
              <c:f>'Event Types - Warsaw'!$G$5:$G$34</c:f>
              <c:numCache/>
            </c:numRef>
          </c:val>
        </c:ser>
        <c:ser>
          <c:idx val="5"/>
          <c:order val="5"/>
          <c:tx>
            <c:v>Meetings</c:v>
          </c:tx>
          <c:spPr>
            <a:solidFill>
              <a:srgbClr val="DC853E"/>
            </a:solidFill>
            <a:ln cmpd="sng">
              <a:noFill/>
            </a:ln>
          </c:spPr>
          <c:invertIfNegative val="0"/>
          <c:cat>
            <c:strRef>
              <c:f>'Event Types - Warsaw'!$A$5:$A$34</c:f>
            </c:strRef>
          </c:cat>
          <c:val>
            <c:numRef>
              <c:f>'Event Types - Warsaw'!$H$5:$H$34</c:f>
              <c:numCache/>
            </c:numRef>
          </c:val>
        </c:ser>
        <c:ser>
          <c:idx val="6"/>
          <c:order val="6"/>
          <c:tx>
            <c:v>Happenings</c:v>
          </c:tx>
          <c:spPr>
            <a:solidFill>
              <a:srgbClr val="93A9CE"/>
            </a:solidFill>
            <a:ln cmpd="sng">
              <a:noFill/>
            </a:ln>
          </c:spPr>
          <c:invertIfNegative val="0"/>
          <c:cat>
            <c:strRef>
              <c:f>'Event Types - Warsaw'!$A$5:$A$34</c:f>
            </c:strRef>
          </c:cat>
          <c:val>
            <c:numRef>
              <c:f>'Event Types - Warsaw'!$I$5:$I$34</c:f>
              <c:numCache/>
            </c:numRef>
          </c:val>
        </c:ser>
        <c:ser>
          <c:idx val="7"/>
          <c:order val="7"/>
          <c:invertIfNegative val="0"/>
          <c:cat>
            <c:strRef>
              <c:f>'Event Types - Warsaw'!$A$5:$A$34</c:f>
            </c:strRef>
          </c:cat>
          <c:val>
            <c:numRef>
              <c:f>'Event Types - Warsaw'!$J$4:$J$34</c:f>
              <c:numCache/>
            </c:numRef>
          </c:val>
        </c:ser>
        <c:ser>
          <c:idx val="8"/>
          <c:order val="8"/>
          <c:invertIfNegative val="0"/>
          <c:cat>
            <c:strRef>
              <c:f>'Event Types - Warsaw'!$A$5:$A$34</c:f>
            </c:strRef>
          </c:cat>
          <c:val>
            <c:numRef>
              <c:f>'Event Types - Warsaw'!$K$4:$K$34</c:f>
              <c:numCache/>
            </c:numRef>
          </c:val>
        </c:ser>
        <c:overlap val="100"/>
        <c:axId val="413399078"/>
        <c:axId val="448332512"/>
      </c:barChart>
      <c:catAx>
        <c:axId val="413399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48332512"/>
      </c:catAx>
      <c:valAx>
        <c:axId val="448332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Number of events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1339907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Event-type composition by year - Berlin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Demonstrations</c:v>
          </c:tx>
          <c:spPr>
            <a:solidFill>
              <a:srgbClr val="4672A8"/>
            </a:solidFill>
            <a:ln cmpd="sng">
              <a:noFill/>
            </a:ln>
          </c:spPr>
          <c:invertIfNegative val="0"/>
          <c:cat>
            <c:strRef>
              <c:f>'Event Types - Berlin'!$A$5:$A$35</c:f>
            </c:strRef>
          </c:cat>
          <c:val>
            <c:numRef>
              <c:f>'Event Types - Berlin'!$C$5:$C$34</c:f>
              <c:numCache/>
            </c:numRef>
          </c:val>
        </c:ser>
        <c:ser>
          <c:idx val="1"/>
          <c:order val="1"/>
          <c:tx>
            <c:v>Festivals</c:v>
          </c:tx>
          <c:spPr>
            <a:solidFill>
              <a:srgbClr val="AB4744"/>
            </a:solidFill>
            <a:ln cmpd="sng">
              <a:noFill/>
            </a:ln>
          </c:spPr>
          <c:invertIfNegative val="0"/>
          <c:cat>
            <c:strRef>
              <c:f>'Event Types - Berlin'!$A$5:$A$35</c:f>
            </c:strRef>
          </c:cat>
          <c:val>
            <c:numRef>
              <c:f>'Event Types - Berlin'!$D$5:$D$34</c:f>
              <c:numCache/>
            </c:numRef>
          </c:val>
        </c:ser>
        <c:ser>
          <c:idx val="2"/>
          <c:order val="2"/>
          <c:tx>
            <c:v>Commemorations</c:v>
          </c:tx>
          <c:spPr>
            <a:solidFill>
              <a:srgbClr val="8AA64F"/>
            </a:solidFill>
            <a:ln cmpd="sng">
              <a:noFill/>
            </a:ln>
          </c:spPr>
          <c:invertIfNegative val="0"/>
          <c:cat>
            <c:strRef>
              <c:f>'Event Types - Berlin'!$A$5:$A$35</c:f>
            </c:strRef>
          </c:cat>
          <c:val>
            <c:numRef>
              <c:f>'Event Types - Berlin'!$E$5:$E$47</c:f>
              <c:numCache/>
            </c:numRef>
          </c:val>
        </c:ser>
        <c:ser>
          <c:idx val="3"/>
          <c:order val="3"/>
          <c:tx>
            <c:v>Rallies</c:v>
          </c:tx>
          <c:spPr>
            <a:solidFill>
              <a:srgbClr val="725990"/>
            </a:solidFill>
            <a:ln cmpd="sng">
              <a:noFill/>
            </a:ln>
          </c:spPr>
          <c:invertIfNegative val="0"/>
          <c:cat>
            <c:strRef>
              <c:f>'Event Types - Berlin'!$A$5:$A$35</c:f>
            </c:strRef>
          </c:cat>
          <c:val>
            <c:numRef>
              <c:f>'Event Types - Berlin'!$F$5:$F$34</c:f>
              <c:numCache/>
            </c:numRef>
          </c:val>
        </c:ser>
        <c:ser>
          <c:idx val="4"/>
          <c:order val="4"/>
          <c:tx>
            <c:v>Counter-demonstrations</c:v>
          </c:tx>
          <c:spPr>
            <a:solidFill>
              <a:srgbClr val="4299B0"/>
            </a:solidFill>
            <a:ln cmpd="sng">
              <a:noFill/>
            </a:ln>
          </c:spPr>
          <c:invertIfNegative val="0"/>
          <c:cat>
            <c:strRef>
              <c:f>'Event Types - Berlin'!$A$5:$A$35</c:f>
            </c:strRef>
          </c:cat>
          <c:val>
            <c:numRef>
              <c:f>'Event Types - Berlin'!$G$5:$G$34</c:f>
              <c:numCache/>
            </c:numRef>
          </c:val>
        </c:ser>
        <c:ser>
          <c:idx val="5"/>
          <c:order val="5"/>
          <c:tx>
            <c:v>Meetings</c:v>
          </c:tx>
          <c:spPr>
            <a:solidFill>
              <a:srgbClr val="DC853E"/>
            </a:solidFill>
            <a:ln cmpd="sng">
              <a:noFill/>
            </a:ln>
          </c:spPr>
          <c:invertIfNegative val="0"/>
          <c:cat>
            <c:strRef>
              <c:f>'Event Types - Berlin'!$A$5:$A$35</c:f>
            </c:strRef>
          </c:cat>
          <c:val>
            <c:numRef>
              <c:f>'Event Types - Berlin'!$H$5:$H$34</c:f>
              <c:numCache/>
            </c:numRef>
          </c:val>
        </c:ser>
        <c:ser>
          <c:idx val="6"/>
          <c:order val="6"/>
          <c:tx>
            <c:v>Happenings</c:v>
          </c:tx>
          <c:spPr>
            <a:solidFill>
              <a:srgbClr val="93A9CE"/>
            </a:solidFill>
            <a:ln cmpd="sng">
              <a:noFill/>
            </a:ln>
          </c:spPr>
          <c:invertIfNegative val="0"/>
          <c:cat>
            <c:strRef>
              <c:f>'Event Types - Berlin'!$A$5:$A$35</c:f>
            </c:strRef>
          </c:cat>
          <c:val>
            <c:numRef>
              <c:f>'Event Types - Berlin'!$I$5:$I$34</c:f>
              <c:numCache/>
            </c:numRef>
          </c:val>
        </c:ser>
        <c:ser>
          <c:idx val="7"/>
          <c:order val="7"/>
          <c:invertIfNegative val="0"/>
          <c:cat>
            <c:strRef>
              <c:f>'Event Types - Berlin'!$A$5:$A$35</c:f>
            </c:strRef>
          </c:cat>
          <c:val>
            <c:numRef>
              <c:f>'Event Types - Berlin'!$J$4:$J$34</c:f>
              <c:numCache/>
            </c:numRef>
          </c:val>
        </c:ser>
        <c:overlap val="100"/>
        <c:axId val="766754727"/>
        <c:axId val="1458949801"/>
      </c:barChart>
      <c:catAx>
        <c:axId val="766754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58949801"/>
      </c:catAx>
      <c:valAx>
        <c:axId val="1458949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Number of events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6675472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 R1M 3-yr moving average vs. RDI 3-yr moving average, 1987-2026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'Berlin - Unrest vs Turnout'!$K$4</c:f>
            </c:strRef>
          </c:tx>
          <c:spPr>
            <a:ln cmpd="sng" w="19050">
              <a:solidFill>
                <a:srgbClr val="0000FF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'Berlin - Unrest vs Turnout'!$A$5:$A$44</c:f>
            </c:strRef>
          </c:cat>
          <c:val>
            <c:numRef>
              <c:f>'Berlin - Unrest vs Turnout'!$K$5:$K$44</c:f>
              <c:numCache/>
            </c:numRef>
          </c:val>
          <c:smooth val="0"/>
        </c:ser>
        <c:ser>
          <c:idx val="1"/>
          <c:order val="1"/>
          <c:tx>
            <c:strRef>
              <c:f>'Berlin - Unrest vs Turnout'!$L$4</c:f>
            </c:strRef>
          </c:tx>
          <c:spPr>
            <a:ln cmpd="sng" w="38100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'Berlin - Unrest vs Turnout'!$A$5:$A$44</c:f>
            </c:strRef>
          </c:cat>
          <c:val>
            <c:numRef>
              <c:f>'Berlin - Unrest vs Turnout'!$L$5:$L$44</c:f>
              <c:numCache/>
            </c:numRef>
          </c:val>
          <c:smooth val="0"/>
        </c:ser>
        <c:axId val="621772188"/>
        <c:axId val="1782163366"/>
      </c:lineChart>
      <c:catAx>
        <c:axId val="621772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82163366"/>
      </c:catAx>
      <c:valAx>
        <c:axId val="1782163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RDI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21772188"/>
      </c:valAx>
      <c:lineChart>
        <c:ser>
          <c:idx val="2"/>
          <c:order val="2"/>
          <c:tx>
            <c:strRef>
              <c:f>'Berlin - Unrest vs Turnout'!$M$4</c:f>
            </c:strRef>
          </c:tx>
          <c:spPr>
            <a:ln cmpd="sng" w="19050">
              <a:solidFill>
                <a:srgbClr val="000000">
                  <a:alpha val="50196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'Berlin - Unrest vs Turnout'!$A$5:$A$44</c:f>
            </c:strRef>
          </c:cat>
          <c:val>
            <c:numRef>
              <c:f>'Berlin - Unrest vs Turnout'!$M$5:$M$44</c:f>
              <c:numCache/>
            </c:numRef>
          </c:val>
          <c:smooth val="0"/>
        </c:ser>
        <c:ser>
          <c:idx val="3"/>
          <c:order val="3"/>
          <c:tx>
            <c:strRef>
              <c:f>'Berlin - Unrest vs Turnout'!$N$4</c:f>
            </c:strRef>
          </c:tx>
          <c:spPr>
            <a:ln cmpd="sng" w="38100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'Berlin - Unrest vs Turnout'!$A$5:$A$44</c:f>
            </c:strRef>
          </c:cat>
          <c:val>
            <c:numRef>
              <c:f>'Berlin - Unrest vs Turnout'!$N$5:$N$44</c:f>
              <c:numCache/>
            </c:numRef>
          </c:val>
          <c:smooth val="0"/>
        </c:ser>
        <c:axId val="1964745675"/>
        <c:axId val="676121410"/>
      </c:lineChart>
      <c:catAx>
        <c:axId val="19647456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76121410"/>
      </c:catAx>
      <c:valAx>
        <c:axId val="67612141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64745675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285750</xdr:colOff>
      <xdr:row>9</xdr:row>
      <xdr:rowOff>9525</xdr:rowOff>
    </xdr:from>
    <xdr:ext cx="8429625" cy="353377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1047750</xdr:colOff>
      <xdr:row>10</xdr:row>
      <xdr:rowOff>85725</xdr:rowOff>
    </xdr:from>
    <xdr:ext cx="8429625" cy="3533775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866775</xdr:colOff>
      <xdr:row>5</xdr:row>
      <xdr:rowOff>190500</xdr:rowOff>
    </xdr:from>
    <xdr:ext cx="9867900" cy="3533775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666750</xdr:colOff>
      <xdr:row>13</xdr:row>
      <xdr:rowOff>142875</xdr:rowOff>
    </xdr:from>
    <xdr:ext cx="9867900" cy="3533775"/>
    <xdr:graphicFrame>
      <xdr:nvGraphicFramePr>
        <xdr:cNvPr id="4" name="Chart 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64</xdr:row>
      <xdr:rowOff>0</xdr:rowOff>
    </xdr:from>
    <xdr:ext cx="6524625" cy="34004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59</xdr:row>
      <xdr:rowOff>0</xdr:rowOff>
    </xdr:from>
    <xdr:ext cx="6524625" cy="34004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54</xdr:row>
      <xdr:rowOff>0</xdr:rowOff>
    </xdr:from>
    <xdr:ext cx="11430000" cy="3400425"/>
    <xdr:graphicFrame>
      <xdr:nvGraphicFramePr>
        <xdr:cNvPr id="7" name="Chart 7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lewica.pl/" TargetMode="External"/><Relationship Id="rId2" Type="http://schemas.openxmlformats.org/officeDocument/2006/relationships/hyperlink" Target="http://wydarzenia.ostroleka.pl/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0.0"/>
    <col customWidth="1" min="2" max="21" width="8.43"/>
  </cols>
  <sheetData>
    <row r="1" ht="25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"/>
      <c r="B3" s="4"/>
      <c r="C3" s="4"/>
      <c r="D3" s="4"/>
      <c r="E3" s="4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0"/>
      <c r="B4" s="4"/>
      <c r="C4" s="4"/>
      <c r="D4" s="4"/>
      <c r="E4" s="4"/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1" t="s">
        <v>2</v>
      </c>
      <c r="B5" s="4"/>
      <c r="C5" s="4"/>
      <c r="D5" s="4"/>
      <c r="E5" s="4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2" t="s">
        <v>3</v>
      </c>
      <c r="B6" s="4"/>
      <c r="C6" s="4"/>
      <c r="D6" s="4"/>
      <c r="E6" s="4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2" t="s">
        <v>4</v>
      </c>
      <c r="B7" s="4"/>
      <c r="C7" s="4"/>
      <c r="D7" s="4"/>
      <c r="E7" s="4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2" t="s">
        <v>5</v>
      </c>
      <c r="B8" s="4"/>
      <c r="C8" s="4"/>
      <c r="D8" s="4"/>
      <c r="E8" s="4"/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2" t="s">
        <v>6</v>
      </c>
      <c r="B9" s="4"/>
      <c r="C9" s="4"/>
      <c r="D9" s="4"/>
      <c r="E9" s="4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2" t="s">
        <v>7</v>
      </c>
      <c r="B10" s="4"/>
      <c r="C10" s="4"/>
      <c r="D10" s="4"/>
      <c r="E10" s="4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2" t="s">
        <v>8</v>
      </c>
      <c r="B11" s="4"/>
      <c r="C11" s="4"/>
      <c r="D11" s="4"/>
      <c r="E11" s="4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0"/>
      <c r="B12" s="4"/>
      <c r="C12" s="4"/>
      <c r="D12" s="4"/>
      <c r="E12" s="4"/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1"/>
      <c r="B13" s="4"/>
      <c r="C13" s="4"/>
      <c r="D13" s="4"/>
      <c r="E13" s="4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2"/>
      <c r="B14" s="4"/>
      <c r="C14" s="4"/>
      <c r="D14" s="4"/>
      <c r="E14" s="4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2"/>
      <c r="B15" s="4"/>
      <c r="C15" s="4"/>
      <c r="D15" s="4"/>
      <c r="E15" s="4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2"/>
      <c r="B16" s="4"/>
      <c r="C16" s="4"/>
      <c r="D16" s="4"/>
      <c r="E16" s="4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B17" s="4"/>
      <c r="C17" s="4"/>
      <c r="D17" s="4"/>
      <c r="E17" s="4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0"/>
      <c r="B18" s="4"/>
      <c r="C18" s="4"/>
      <c r="D18" s="4"/>
      <c r="E18" s="4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1"/>
      <c r="B19" s="4"/>
      <c r="C19" s="4"/>
      <c r="D19" s="4"/>
      <c r="E19" s="4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12"/>
      <c r="B20" s="4"/>
      <c r="C20" s="4"/>
      <c r="D20" s="4"/>
      <c r="E20" s="4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12"/>
      <c r="B21" s="4"/>
      <c r="C21" s="4"/>
      <c r="D21" s="4"/>
      <c r="E21" s="4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12"/>
      <c r="B22" s="4"/>
      <c r="C22" s="4"/>
      <c r="D22" s="4"/>
      <c r="E22" s="4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2"/>
      <c r="B23" s="4"/>
      <c r="C23" s="4"/>
      <c r="D23" s="4"/>
      <c r="E23" s="4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2"/>
      <c r="B24" s="4"/>
      <c r="C24" s="4"/>
      <c r="D24" s="4"/>
      <c r="E24" s="4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2"/>
      <c r="B25" s="4"/>
      <c r="C25" s="4"/>
      <c r="D25" s="4"/>
      <c r="E25" s="4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0"/>
      <c r="B26" s="4"/>
      <c r="C26" s="4"/>
      <c r="D26" s="4"/>
      <c r="E26" s="4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1"/>
      <c r="B27" s="4"/>
      <c r="C27" s="4"/>
      <c r="D27" s="4"/>
      <c r="E27" s="4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1"/>
      <c r="B28" s="4"/>
      <c r="C28" s="4"/>
      <c r="D28" s="4"/>
      <c r="E28" s="4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3"/>
      <c r="B29" s="14"/>
      <c r="C29" s="14"/>
      <c r="D29" s="14"/>
      <c r="E29" s="14"/>
      <c r="F29" s="1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4.0"/>
    <col customWidth="1" min="3" max="4" width="16.0"/>
    <col customWidth="1" min="5" max="5" width="20.0"/>
    <col customWidth="1" min="6" max="6" width="16.0"/>
    <col customWidth="1" min="7" max="7" width="18.0"/>
    <col customWidth="1" min="8" max="26" width="8.43"/>
  </cols>
  <sheetData>
    <row r="1" ht="25.5" customHeight="1">
      <c r="A1" s="16" t="s">
        <v>9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10</v>
      </c>
      <c r="B2" s="6"/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7"/>
      <c r="B3" s="18"/>
      <c r="C3" s="18"/>
      <c r="D3" s="18"/>
      <c r="E3" s="18"/>
      <c r="F3" s="18"/>
      <c r="G3" s="19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20" t="s">
        <v>11</v>
      </c>
      <c r="B4" s="20" t="s">
        <v>12</v>
      </c>
      <c r="C4" s="20" t="s">
        <v>13</v>
      </c>
      <c r="D4" s="20" t="s">
        <v>14</v>
      </c>
      <c r="E4" s="20" t="s">
        <v>15</v>
      </c>
      <c r="F4" s="20" t="s">
        <v>16</v>
      </c>
      <c r="G4" s="20" t="s">
        <v>17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21">
        <v>1990.0</v>
      </c>
      <c r="B5" s="22" t="s">
        <v>18</v>
      </c>
      <c r="C5" s="21"/>
      <c r="D5" s="23">
        <f>'Events - Warsaw'!B5</f>
        <v>14250</v>
      </c>
      <c r="E5" s="24">
        <f t="array" ref="E5">'Events - Warsaw'!J5</f>
        <v>17550</v>
      </c>
      <c r="F5" s="25">
        <f t="array" ref="F5">IFERROR(D5/E5,"")</f>
        <v>0.811965812</v>
      </c>
      <c r="G5" s="2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21">
        <v>1991.0</v>
      </c>
      <c r="B6" s="22" t="s">
        <v>19</v>
      </c>
      <c r="C6" s="21"/>
      <c r="D6" s="23">
        <f>'Events - Warsaw'!B6</f>
        <v>12500</v>
      </c>
      <c r="E6" s="24">
        <f t="array" ref="E6">'Events - Warsaw'!J6</f>
        <v>13030</v>
      </c>
      <c r="F6" s="25">
        <f t="array" ref="F6">IFERROR(D6/E6,"")</f>
        <v>0.9593246355</v>
      </c>
      <c r="G6" s="26">
        <f t="array" ref="G6">AVERAGE(F5:F7)</f>
        <v>0.9169607614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21">
        <v>1992.0</v>
      </c>
      <c r="B7" s="22" t="s">
        <v>20</v>
      </c>
      <c r="C7" s="27">
        <v>3.0</v>
      </c>
      <c r="D7" s="23">
        <f>'Events - Warsaw'!B7</f>
        <v>24000</v>
      </c>
      <c r="E7" s="24">
        <f t="array" ref="E7">'Events - Warsaw'!J7</f>
        <v>24500</v>
      </c>
      <c r="F7" s="25">
        <f t="array" ref="F7">IFERROR(D7/E7,"")</f>
        <v>0.9795918367</v>
      </c>
      <c r="G7" s="26">
        <f t="array" ref="G7">AVERAGE(F6:F8)</f>
        <v>0.9641749065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21">
        <v>1993.0</v>
      </c>
      <c r="B8" s="22" t="s">
        <v>21</v>
      </c>
      <c r="C8" s="27">
        <v>3.0</v>
      </c>
      <c r="D8" s="23">
        <f>'Events - Warsaw'!B8</f>
        <v>6166.666667</v>
      </c>
      <c r="E8" s="24">
        <f t="array" ref="E8">'Events - Warsaw'!J8</f>
        <v>6466.666667</v>
      </c>
      <c r="F8" s="25">
        <f t="array" ref="F8">IFERROR(D8/E8,"")</f>
        <v>0.9536082474</v>
      </c>
      <c r="G8" s="26">
        <f t="array" ref="G8">AVERAGE(F7:F9)</f>
        <v>0.9385176751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21">
        <v>1994.0</v>
      </c>
      <c r="B9" s="22" t="s">
        <v>22</v>
      </c>
      <c r="C9" s="27">
        <v>3.0</v>
      </c>
      <c r="D9" s="23">
        <f>'Events - Warsaw'!B9</f>
        <v>3000</v>
      </c>
      <c r="E9" s="24">
        <f t="array" ref="E9">'Events - Warsaw'!J9</f>
        <v>3400</v>
      </c>
      <c r="F9" s="25">
        <f t="array" ref="F9">IFERROR(D9/E9,"")</f>
        <v>0.8823529412</v>
      </c>
      <c r="G9" s="26">
        <f t="array" ref="G9">AVERAGE(F8:F10)</f>
        <v>0.896077972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21">
        <v>1995.0</v>
      </c>
      <c r="B10" s="22" t="s">
        <v>23</v>
      </c>
      <c r="C10" s="27">
        <v>4.0</v>
      </c>
      <c r="D10" s="23">
        <f>'Events - Warsaw'!B10</f>
        <v>4500</v>
      </c>
      <c r="E10" s="24">
        <f t="array" ref="E10">'Events - Warsaw'!J10</f>
        <v>5280</v>
      </c>
      <c r="F10" s="25">
        <f t="array" ref="F10">IFERROR(D10/E10,"")</f>
        <v>0.8522727273</v>
      </c>
      <c r="G10" s="26">
        <f t="array" ref="G10">AVERAGE(F9:F11)</f>
        <v>0.8723262032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21">
        <v>1996.0</v>
      </c>
      <c r="B11" s="22" t="s">
        <v>19</v>
      </c>
      <c r="C11" s="28">
        <v>5.0</v>
      </c>
      <c r="D11" s="23">
        <f>'Events - Warsaw'!B11</f>
        <v>4500</v>
      </c>
      <c r="E11" s="24">
        <f t="array" ref="E11">'Events - Warsaw'!J11</f>
        <v>5100</v>
      </c>
      <c r="F11" s="25">
        <f t="array" ref="F11">IFERROR(D11/E11,"")</f>
        <v>0.8823529412</v>
      </c>
      <c r="G11" s="26">
        <f t="array" ref="G11">AVERAGE(F10:F12)</f>
        <v>0.892673965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21">
        <v>1997.0</v>
      </c>
      <c r="B12" s="22" t="s">
        <v>24</v>
      </c>
      <c r="C12" s="27">
        <v>4.0</v>
      </c>
      <c r="D12" s="23">
        <f>'Events - Warsaw'!B12</f>
        <v>2500</v>
      </c>
      <c r="E12" s="24">
        <f t="array" ref="E12">'Events - Warsaw'!J12</f>
        <v>2650</v>
      </c>
      <c r="F12" s="25">
        <f t="array" ref="F12">IFERROR(D12/E12,"")</f>
        <v>0.9433962264</v>
      </c>
      <c r="G12" s="26">
        <f t="array" ref="G12">AVERAGE(F11:F13)</f>
        <v>0.9298681964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21">
        <v>1998.0</v>
      </c>
      <c r="B13" s="22" t="s">
        <v>20</v>
      </c>
      <c r="C13" s="27">
        <v>3.0</v>
      </c>
      <c r="D13" s="23">
        <f>'Events - Warsaw'!B13</f>
        <v>4000</v>
      </c>
      <c r="E13" s="24">
        <f t="array" ref="E13">'Events - Warsaw'!J13</f>
        <v>4150</v>
      </c>
      <c r="F13" s="25">
        <f t="array" ref="F13">IFERROR(D13/E13,"")</f>
        <v>0.9638554217</v>
      </c>
      <c r="G13" s="26">
        <f t="array" ref="G13">AVERAGE(F12:F14)</f>
        <v>0.9637362891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21">
        <v>1999.0</v>
      </c>
      <c r="B14" s="22" t="s">
        <v>21</v>
      </c>
      <c r="C14" s="27">
        <v>3.0</v>
      </c>
      <c r="D14" s="23">
        <f>'Events - Warsaw'!B14</f>
        <v>9200</v>
      </c>
      <c r="E14" s="24">
        <f t="array" ref="E14">'Events - Warsaw'!J14</f>
        <v>9350</v>
      </c>
      <c r="F14" s="25">
        <f t="array" ref="F14">IFERROR(D14/E14,"")</f>
        <v>0.9839572193</v>
      </c>
      <c r="G14" s="26">
        <f t="array" ref="G14">AVERAGE(F13:F15)</f>
        <v>0.9553933293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21">
        <v>2000.0</v>
      </c>
      <c r="B15" s="22" t="s">
        <v>23</v>
      </c>
      <c r="C15" s="27">
        <v>3.0</v>
      </c>
      <c r="D15" s="23">
        <f>'Events - Warsaw'!B15</f>
        <v>2250</v>
      </c>
      <c r="E15" s="24">
        <f t="array" ref="E15">'Events - Warsaw'!J15</f>
        <v>2450</v>
      </c>
      <c r="F15" s="25">
        <f t="array" ref="F15">IFERROR(D15/E15,"")</f>
        <v>0.9183673469</v>
      </c>
      <c r="G15" s="26">
        <f t="array" ref="G15">AVERAGE(F14:F16)</f>
        <v>0.940856655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21">
        <v>2001.0</v>
      </c>
      <c r="B16" s="22" t="s">
        <v>18</v>
      </c>
      <c r="C16" s="28">
        <v>6.0</v>
      </c>
      <c r="D16" s="23">
        <f>'Events - Warsaw'!B16</f>
        <v>7500</v>
      </c>
      <c r="E16" s="24">
        <f t="array" ref="E16">'Events - Warsaw'!J16</f>
        <v>8150</v>
      </c>
      <c r="F16" s="25">
        <f t="array" ref="F16">IFERROR(D16/E16,"")</f>
        <v>0.9202453988</v>
      </c>
      <c r="G16" s="26">
        <f t="array" ref="G16">AVERAGE(F15:F17)</f>
        <v>0.7970814416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21">
        <v>2002.0</v>
      </c>
      <c r="B17" s="22" t="s">
        <v>19</v>
      </c>
      <c r="C17" s="28">
        <v>5.0</v>
      </c>
      <c r="D17" s="23">
        <f>'Events - Warsaw'!B17</f>
        <v>2100</v>
      </c>
      <c r="E17" s="24">
        <f t="array" ref="E17">'Events - Warsaw'!J17</f>
        <v>3800</v>
      </c>
      <c r="F17" s="25">
        <f t="array" ref="F17">IFERROR(D17/E17,"")</f>
        <v>0.5526315789</v>
      </c>
      <c r="G17" s="26">
        <f t="array" ref="G17">AVERAGE(F16:F18)</f>
        <v>0.6365194001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21">
        <v>2003.0</v>
      </c>
      <c r="B18" s="22" t="s">
        <v>24</v>
      </c>
      <c r="C18" s="27">
        <v>4.0</v>
      </c>
      <c r="D18" s="23">
        <f>'Events - Warsaw'!B18</f>
        <v>3333.333333</v>
      </c>
      <c r="E18" s="24">
        <f t="array" ref="E18">'Events - Warsaw'!J18</f>
        <v>7633.333333</v>
      </c>
      <c r="F18" s="25">
        <f t="array" ref="F18">IFERROR(D18/E18,"")</f>
        <v>0.4366812227</v>
      </c>
      <c r="G18" s="26">
        <f t="array" ref="G18">AVERAGE(F17:F19)</f>
        <v>0.4072903137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21">
        <v>2004.0</v>
      </c>
      <c r="B19" s="22" t="s">
        <v>21</v>
      </c>
      <c r="C19" s="27">
        <v>3.0</v>
      </c>
      <c r="D19" s="23">
        <f>'Events - Warsaw'!B19</f>
        <v>666.6666667</v>
      </c>
      <c r="E19" s="24">
        <f t="array" ref="E19">'Events - Warsaw'!J19</f>
        <v>2866.666667</v>
      </c>
      <c r="F19" s="25">
        <f t="array" ref="F19">IFERROR(D19/E19,"")</f>
        <v>0.2325581395</v>
      </c>
      <c r="G19" s="26">
        <f t="array" ref="G19">AVERAGE(F18:F20)</f>
        <v>0.4492702636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21">
        <v>2005.0</v>
      </c>
      <c r="B20" s="22" t="s">
        <v>22</v>
      </c>
      <c r="C20" s="21">
        <v>2.0</v>
      </c>
      <c r="D20" s="23">
        <f>'Events - Warsaw'!B20</f>
        <v>633.3333333</v>
      </c>
      <c r="E20" s="24">
        <f t="array" ref="E20">'Events - Warsaw'!J20</f>
        <v>933.3333333</v>
      </c>
      <c r="F20" s="25">
        <f t="array" ref="F20">IFERROR(D20/E20,"")</f>
        <v>0.6785714286</v>
      </c>
      <c r="G20" s="26">
        <f t="array" ref="G20">AVERAGE(F19:F21)</f>
        <v>0.5899622101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21">
        <v>2006.0</v>
      </c>
      <c r="B21" s="22" t="s">
        <v>23</v>
      </c>
      <c r="C21" s="27">
        <v>3.0</v>
      </c>
      <c r="D21" s="23">
        <f>'Events - Warsaw'!B21</f>
        <v>1520</v>
      </c>
      <c r="E21" s="24">
        <f t="array" ref="E21">'Events - Warsaw'!J21</f>
        <v>1770</v>
      </c>
      <c r="F21" s="25">
        <f t="array" ref="F21">IFERROR(D21/E21,"")</f>
        <v>0.8587570621</v>
      </c>
      <c r="G21" s="26">
        <f t="array" ref="G21">AVERAGE(F20:F22)</f>
        <v>0.7746151149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21">
        <v>2007.0</v>
      </c>
      <c r="B22" s="22" t="s">
        <v>18</v>
      </c>
      <c r="C22" s="28">
        <v>6.0</v>
      </c>
      <c r="D22" s="23">
        <f>'Events - Warsaw'!B22</f>
        <v>1400</v>
      </c>
      <c r="E22" s="24">
        <f t="array" ref="E22">'Events - Warsaw'!J22</f>
        <v>1780</v>
      </c>
      <c r="F22" s="25">
        <f t="array" ref="F22">IFERROR(D22/E22,"")</f>
        <v>0.7865168539</v>
      </c>
      <c r="G22" s="26">
        <f t="array" ref="G22">AVERAGE(F21:F23)</f>
        <v>0.8307561505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21">
        <v>2008.0</v>
      </c>
      <c r="B23" s="22" t="s">
        <v>24</v>
      </c>
      <c r="C23" s="27">
        <v>4.0</v>
      </c>
      <c r="D23" s="23">
        <f>'Events - Warsaw'!B23</f>
        <v>2214.285714</v>
      </c>
      <c r="E23" s="24">
        <f t="array" ref="E23">'Events - Warsaw'!J23</f>
        <v>2614.285714</v>
      </c>
      <c r="F23" s="25">
        <f t="array" ref="F23">IFERROR(D23/E23,"")</f>
        <v>0.8469945355</v>
      </c>
      <c r="G23" s="26">
        <f t="array" ref="G23">AVERAGE(F22:F24)</f>
        <v>0.8101191854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21">
        <v>2009.0</v>
      </c>
      <c r="B24" s="22" t="s">
        <v>20</v>
      </c>
      <c r="C24" s="27">
        <v>3.0</v>
      </c>
      <c r="D24" s="23">
        <f>'Events - Warsaw'!B24</f>
        <v>1357.142857</v>
      </c>
      <c r="E24" s="24">
        <f t="array" ref="E24">'Events - Warsaw'!J24</f>
        <v>1703.142857</v>
      </c>
      <c r="F24" s="25">
        <f t="array" ref="F24">IFERROR(D24/E24,"")</f>
        <v>0.7968461668</v>
      </c>
      <c r="G24" s="26">
        <f t="array" ref="G24">AVERAGE(F23:F25)</f>
        <v>0.7965344714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21">
        <v>2010.0</v>
      </c>
      <c r="B25" s="22" t="s">
        <v>21</v>
      </c>
      <c r="C25" s="27">
        <v>3.0</v>
      </c>
      <c r="D25" s="23">
        <f>'Events - Warsaw'!B25</f>
        <v>440</v>
      </c>
      <c r="E25" s="24">
        <f t="array" ref="E25">'Events - Warsaw'!J25</f>
        <v>590</v>
      </c>
      <c r="F25" s="25">
        <f t="array" ref="F25">IFERROR(D25/E25,"")</f>
        <v>0.7457627119</v>
      </c>
      <c r="G25" s="26">
        <f t="array" ref="G25">AVERAGE(F24:F26)</f>
        <v>0.6710657046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21">
        <v>2011.0</v>
      </c>
      <c r="B26" s="22" t="s">
        <v>22</v>
      </c>
      <c r="C26" s="21">
        <v>2.0</v>
      </c>
      <c r="D26" s="23">
        <f>'Events - Warsaw'!B26</f>
        <v>133.3333333</v>
      </c>
      <c r="E26" s="24">
        <f t="array" ref="E26">'Events - Warsaw'!J26</f>
        <v>283.3333333</v>
      </c>
      <c r="F26" s="25">
        <f t="array" ref="F26">IFERROR(D26/E26,"")</f>
        <v>0.4705882353</v>
      </c>
      <c r="G26" s="26">
        <f t="array" ref="G26">AVERAGE(F25:F27)</f>
        <v>0.7213105308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21">
        <v>2012.0</v>
      </c>
      <c r="B27" s="22" t="s">
        <v>18</v>
      </c>
      <c r="C27" s="28">
        <v>6.0</v>
      </c>
      <c r="D27" s="23">
        <f>'Events - Warsaw'!B27</f>
        <v>11750</v>
      </c>
      <c r="E27" s="24">
        <f t="array" ref="E27">'Events - Warsaw'!J27</f>
        <v>12400</v>
      </c>
      <c r="F27" s="25">
        <f t="array" ref="F27">IFERROR(D27/E27,"")</f>
        <v>0.9475806452</v>
      </c>
      <c r="G27" s="26">
        <f t="array" ref="G27">AVERAGE(F26:F28)</f>
        <v>0.7947841518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21">
        <v>2013.0</v>
      </c>
      <c r="B28" s="22" t="s">
        <v>19</v>
      </c>
      <c r="C28" s="28">
        <v>5.0</v>
      </c>
      <c r="D28" s="23">
        <f>'Events - Warsaw'!B28</f>
        <v>20000</v>
      </c>
      <c r="E28" s="24">
        <f t="array" ref="E28">'Events - Warsaw'!J28</f>
        <v>20700</v>
      </c>
      <c r="F28" s="25">
        <f t="array" ref="F28">IFERROR(D28/E28,"")</f>
        <v>0.9661835749</v>
      </c>
      <c r="G28" s="26">
        <f t="array" ref="G28">AVERAGE(F27:F29)</f>
        <v>0.9366315221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21">
        <v>2014.0</v>
      </c>
      <c r="B29" s="22" t="s">
        <v>24</v>
      </c>
      <c r="C29" s="27">
        <v>4.0</v>
      </c>
      <c r="D29" s="23">
        <f>'Events - Warsaw'!B29</f>
        <v>7333.333333</v>
      </c>
      <c r="E29" s="24">
        <f t="array" ref="E29">'Events - Warsaw'!J29</f>
        <v>8183.333333</v>
      </c>
      <c r="F29" s="25">
        <f t="array" ref="F29">IFERROR(D29/E29,"")</f>
        <v>0.8961303462</v>
      </c>
      <c r="G29" s="26">
        <f t="array" ref="G29">AVERAGE(F28:F30)</f>
        <v>0.620771307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21">
        <v>2015.0</v>
      </c>
      <c r="B30" s="22" t="s">
        <v>20</v>
      </c>
      <c r="C30" s="27">
        <v>3.0</v>
      </c>
      <c r="D30" s="23">
        <f>'Events - Warsaw'!B30</f>
        <v>0</v>
      </c>
      <c r="E30" s="24">
        <f t="array" ref="E30">'Events - Warsaw'!J30</f>
        <v>700</v>
      </c>
      <c r="F30" s="25">
        <f t="array" ref="F30">IFERROR(D30/E30,"")</f>
        <v>0</v>
      </c>
      <c r="G30" s="26">
        <f t="array" ref="G30">AVERAGE(F29:F31)</f>
        <v>0.601101114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21">
        <v>2016.0</v>
      </c>
      <c r="B31" s="22" t="s">
        <v>22</v>
      </c>
      <c r="C31" s="21">
        <v>2.0</v>
      </c>
      <c r="D31" s="23">
        <f>'Events - Warsaw'!B31</f>
        <v>5375</v>
      </c>
      <c r="E31" s="24">
        <f t="array" ref="E31">'Events - Warsaw'!J31</f>
        <v>5925</v>
      </c>
      <c r="F31" s="25">
        <f t="array" ref="F31">IFERROR(D31/E31,"")</f>
        <v>0.9071729958</v>
      </c>
      <c r="G31" s="26">
        <f t="array" ref="G31">AVERAGE(F30:F32)</f>
        <v>0.5087402049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21">
        <v>2017.0</v>
      </c>
      <c r="B32" s="22" t="s">
        <v>23</v>
      </c>
      <c r="C32" s="27">
        <v>3.0</v>
      </c>
      <c r="D32" s="23">
        <f>'Events - Warsaw'!B32</f>
        <v>650</v>
      </c>
      <c r="E32" s="24">
        <f t="array" ref="E32">'Events - Warsaw'!J32</f>
        <v>1050</v>
      </c>
      <c r="F32" s="25">
        <f t="array" ref="F32">IFERROR(D32/E32,"")</f>
        <v>0.619047619</v>
      </c>
      <c r="G32" s="26">
        <f t="array" ref="G32">AVERAGE(F31:F33)</f>
        <v>0.7196245587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21">
        <v>2018.0</v>
      </c>
      <c r="B33" s="22" t="s">
        <v>18</v>
      </c>
      <c r="C33" s="28">
        <v>6.0</v>
      </c>
      <c r="D33" s="23">
        <f>'Events - Warsaw'!B33</f>
        <v>775</v>
      </c>
      <c r="E33" s="24">
        <f t="array" ref="E33">'Events - Warsaw'!J33</f>
        <v>1225</v>
      </c>
      <c r="F33" s="25">
        <f t="array" ref="F33">IFERROR(D33/E33,"")</f>
        <v>0.6326530612</v>
      </c>
      <c r="G33" s="26">
        <f t="array" ref="G33">AVERAGE(F32:F34)</f>
        <v>0.4172335601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21">
        <v>2019.0</v>
      </c>
      <c r="B34" s="22" t="s">
        <v>19</v>
      </c>
      <c r="C34" s="28">
        <v>5.0</v>
      </c>
      <c r="D34" s="23">
        <f>'Events - Warsaw'!B34</f>
        <v>0</v>
      </c>
      <c r="E34" s="24">
        <f t="array" ref="E34">'Events - Warsaw'!J34</f>
        <v>3350</v>
      </c>
      <c r="F34" s="25">
        <f t="array" ref="F34">IFERROR(D34/E34,"")</f>
        <v>0</v>
      </c>
      <c r="G34" s="2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29"/>
      <c r="B35" s="30"/>
      <c r="C35" s="30"/>
      <c r="D35" s="30"/>
      <c r="E35" s="30"/>
      <c r="F35" s="30"/>
      <c r="G35" s="3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8"/>
      <c r="B36" s="32"/>
      <c r="C36" s="33" t="s">
        <v>25</v>
      </c>
      <c r="D36" s="34">
        <f t="array" ref="D36">AVERAGE(D5:D34)</f>
        <v>5134.936508</v>
      </c>
      <c r="E36" s="32"/>
      <c r="F36" s="32"/>
      <c r="G36" s="3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8"/>
      <c r="B37" s="32"/>
      <c r="C37" s="33" t="s">
        <v>26</v>
      </c>
      <c r="D37" s="34">
        <f t="array" ref="D37">MEDIAN(D5:D34)</f>
        <v>2750</v>
      </c>
      <c r="E37" s="32"/>
      <c r="F37" s="32"/>
      <c r="G37" s="3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8"/>
      <c r="B38" s="32"/>
      <c r="C38" s="33" t="s">
        <v>27</v>
      </c>
      <c r="D38" s="34">
        <f t="array" ref="D38">MAX(D5:D34)</f>
        <v>24000</v>
      </c>
      <c r="E38" s="32"/>
      <c r="F38" s="32"/>
      <c r="G38" s="3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8"/>
      <c r="B39" s="32"/>
      <c r="C39" s="33" t="s">
        <v>28</v>
      </c>
      <c r="D39" s="34">
        <f t="array" ref="D39">MIN(D5:D34)</f>
        <v>0</v>
      </c>
      <c r="E39" s="32"/>
      <c r="F39" s="32"/>
      <c r="G39" s="3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8"/>
      <c r="B40" s="32"/>
      <c r="C40" s="32"/>
      <c r="D40" s="32"/>
      <c r="E40" s="32"/>
      <c r="F40" s="32"/>
      <c r="G40" s="3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8"/>
      <c r="B41" s="32"/>
      <c r="C41" s="32"/>
      <c r="D41" s="32"/>
      <c r="E41" s="32"/>
      <c r="F41" s="32"/>
      <c r="G41" s="3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36"/>
      <c r="B42" s="37"/>
      <c r="C42" s="37"/>
      <c r="D42" s="37"/>
      <c r="E42" s="37"/>
      <c r="F42" s="37"/>
      <c r="G42" s="3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42:G42"/>
  </mergeCells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4.0"/>
    <col customWidth="1" min="3" max="4" width="16.0"/>
    <col customWidth="1" min="5" max="5" width="20.0"/>
    <col customWidth="1" min="6" max="6" width="16.0"/>
    <col customWidth="1" min="7" max="7" width="18.0"/>
    <col customWidth="1" min="8" max="26" width="8.43"/>
  </cols>
  <sheetData>
    <row r="1" ht="25.5" customHeight="1">
      <c r="A1" s="39" t="s">
        <v>29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10</v>
      </c>
      <c r="B2" s="6"/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7"/>
      <c r="B3" s="18"/>
      <c r="C3" s="18"/>
      <c r="D3" s="18"/>
      <c r="E3" s="18"/>
      <c r="F3" s="18"/>
      <c r="G3" s="19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0" t="s">
        <v>11</v>
      </c>
      <c r="B4" s="40" t="s">
        <v>12</v>
      </c>
      <c r="C4" s="40" t="s">
        <v>13</v>
      </c>
      <c r="D4" s="40" t="s">
        <v>14</v>
      </c>
      <c r="E4" s="40" t="s">
        <v>15</v>
      </c>
      <c r="F4" s="40" t="s">
        <v>16</v>
      </c>
      <c r="G4" s="40" t="s">
        <v>30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21">
        <v>1990.0</v>
      </c>
      <c r="B5" s="22" t="s">
        <v>18</v>
      </c>
      <c r="C5" s="21"/>
      <c r="D5" s="41">
        <f>'Events - Berlin'!B5</f>
        <v>56666.66667</v>
      </c>
      <c r="E5" s="24">
        <f t="array" ref="E5">'Events - Berlin'!N5</f>
        <v>84666.66667</v>
      </c>
      <c r="F5" s="25">
        <f t="array" ref="F5">IFERROR(D5/E5,"")</f>
        <v>0.6692913386</v>
      </c>
      <c r="G5" s="2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21">
        <v>1991.0</v>
      </c>
      <c r="B6" s="22" t="s">
        <v>19</v>
      </c>
      <c r="C6" s="21"/>
      <c r="D6" s="41">
        <f>'Events - Berlin'!B6</f>
        <v>10000</v>
      </c>
      <c r="E6" s="24">
        <f t="array" ref="E6">'Events - Berlin'!N6</f>
        <v>22666.66667</v>
      </c>
      <c r="F6" s="25">
        <f t="array" ref="F6">IFERROR(D6/E6,"")</f>
        <v>0.4411764706</v>
      </c>
      <c r="G6" s="26">
        <f t="array" ref="G6">AVERAGE(F5:F7)</f>
        <v>0.5560145222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21">
        <v>1992.0</v>
      </c>
      <c r="B7" s="22" t="s">
        <v>20</v>
      </c>
      <c r="C7" s="27">
        <v>3.0</v>
      </c>
      <c r="D7" s="41">
        <f>'Events - Berlin'!B7</f>
        <v>23000</v>
      </c>
      <c r="E7" s="24">
        <f t="array" ref="E7">'Events - Berlin'!N7</f>
        <v>41250</v>
      </c>
      <c r="F7" s="25">
        <f t="array" ref="F7">IFERROR(D7/E7,"")</f>
        <v>0.5575757576</v>
      </c>
      <c r="G7" s="26">
        <f t="array" ref="G7">AVERAGE(F6:F8)</f>
        <v>0.5149672911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21">
        <v>1993.0</v>
      </c>
      <c r="B8" s="22" t="s">
        <v>21</v>
      </c>
      <c r="C8" s="21">
        <v>2.0</v>
      </c>
      <c r="D8" s="41">
        <f>'Events - Berlin'!B8</f>
        <v>16666.66667</v>
      </c>
      <c r="E8" s="24">
        <f t="array" ref="E8">'Events - Berlin'!N8</f>
        <v>30516.66667</v>
      </c>
      <c r="F8" s="25">
        <f t="array" ref="F8">IFERROR(D8/E8,"")</f>
        <v>0.546149645</v>
      </c>
      <c r="G8" s="26">
        <f t="array" ref="G8">AVERAGE(F7:F9)</f>
        <v>0.6072860857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21">
        <v>1994.0</v>
      </c>
      <c r="B9" s="22" t="s">
        <v>22</v>
      </c>
      <c r="C9" s="21">
        <v>2.0</v>
      </c>
      <c r="D9" s="41">
        <f>'Events - Berlin'!B9</f>
        <v>6000</v>
      </c>
      <c r="E9" s="24">
        <f t="array" ref="E9">'Events - Berlin'!N9</f>
        <v>8355</v>
      </c>
      <c r="F9" s="25">
        <f t="array" ref="F9">IFERROR(D9/E9,"")</f>
        <v>0.7181328546</v>
      </c>
      <c r="G9" s="26">
        <f t="array" ref="G9">AVERAGE(F8:F10)</f>
        <v>0.6406867591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21">
        <v>1995.0</v>
      </c>
      <c r="B10" s="22" t="s">
        <v>23</v>
      </c>
      <c r="C10" s="27">
        <v>3.0</v>
      </c>
      <c r="D10" s="41">
        <f>'Events - Berlin'!B10</f>
        <v>7400</v>
      </c>
      <c r="E10" s="24">
        <f t="array" ref="E10">'Events - Berlin'!N10</f>
        <v>11250</v>
      </c>
      <c r="F10" s="25">
        <f t="array" ref="F10">IFERROR(D10/E10,"")</f>
        <v>0.6577777778</v>
      </c>
      <c r="G10" s="26">
        <f t="array" ref="G10">AVERAGE(F9:F11)</f>
        <v>0.630866563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21">
        <v>1996.0</v>
      </c>
      <c r="B11" s="22" t="s">
        <v>19</v>
      </c>
      <c r="C11" s="21"/>
      <c r="D11" s="41">
        <f>'Events - Berlin'!B11</f>
        <v>16666.66667</v>
      </c>
      <c r="E11" s="24">
        <f t="array" ref="E11">'Events - Berlin'!N11</f>
        <v>32256.66667</v>
      </c>
      <c r="F11" s="25">
        <f t="array" ref="F11">IFERROR(D11/E11,"")</f>
        <v>0.5166890565</v>
      </c>
      <c r="G11" s="26">
        <f t="array" ref="G11">AVERAGE(F10:F12)</f>
        <v>0.5052613999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21">
        <v>1997.0</v>
      </c>
      <c r="B12" s="22" t="s">
        <v>24</v>
      </c>
      <c r="C12" s="27">
        <v>4.0</v>
      </c>
      <c r="D12" s="41">
        <f>'Events - Berlin'!B12</f>
        <v>9500</v>
      </c>
      <c r="E12" s="24">
        <f t="array" ref="E12">'Events - Berlin'!N12</f>
        <v>27833.33333</v>
      </c>
      <c r="F12" s="25">
        <f t="array" ref="F12">IFERROR(D12/E12,"")</f>
        <v>0.3413173653</v>
      </c>
      <c r="G12" s="26">
        <f t="array" ref="G12">AVERAGE(F11:F13)</f>
        <v>0.4386843964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21">
        <v>1998.0</v>
      </c>
      <c r="B13" s="22" t="s">
        <v>20</v>
      </c>
      <c r="C13" s="27">
        <v>3.0</v>
      </c>
      <c r="D13" s="41">
        <f>'Events - Berlin'!B13</f>
        <v>13875</v>
      </c>
      <c r="E13" s="24">
        <f t="array" ref="E13">'Events - Berlin'!N13</f>
        <v>30291.66667</v>
      </c>
      <c r="F13" s="25">
        <f t="array" ref="F13">IFERROR(D13/E13,"")</f>
        <v>0.4580467675</v>
      </c>
      <c r="G13" s="26">
        <f t="array" ref="G13">AVERAGE(F12:F14)</f>
        <v>0.363019242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21">
        <v>1999.0</v>
      </c>
      <c r="B14" s="22" t="s">
        <v>21</v>
      </c>
      <c r="C14" s="21">
        <v>2.0</v>
      </c>
      <c r="D14" s="41">
        <f>'Events - Berlin'!B14</f>
        <v>10400</v>
      </c>
      <c r="E14" s="24">
        <f t="array" ref="E14">'Events - Berlin'!N14</f>
        <v>35900</v>
      </c>
      <c r="F14" s="25">
        <f t="array" ref="F14">IFERROR(D14/E14,"")</f>
        <v>0.2896935933</v>
      </c>
      <c r="G14" s="26">
        <f t="array" ref="G14">AVERAGE(F13:F15)</f>
        <v>0.3311739085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21">
        <v>2000.0</v>
      </c>
      <c r="B15" s="22" t="s">
        <v>23</v>
      </c>
      <c r="C15" s="27">
        <v>3.0</v>
      </c>
      <c r="D15" s="41">
        <f>'Events - Berlin'!B15</f>
        <v>11166.66667</v>
      </c>
      <c r="E15" s="24">
        <f t="array" ref="E15">'Events - Berlin'!N15</f>
        <v>45433.33333</v>
      </c>
      <c r="F15" s="25">
        <f t="array" ref="F15">IFERROR(D15/E15,"")</f>
        <v>0.2457813646</v>
      </c>
      <c r="G15" s="26">
        <f t="array" ref="G15">AVERAGE(F14:F16)</f>
        <v>0.3284879399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21">
        <v>2001.0</v>
      </c>
      <c r="B16" s="22" t="s">
        <v>18</v>
      </c>
      <c r="C16" s="21"/>
      <c r="D16" s="41">
        <f>'Events - Berlin'!B16</f>
        <v>16833.33333</v>
      </c>
      <c r="E16" s="24">
        <f t="array" ref="E16">'Events - Berlin'!N16</f>
        <v>37408.33333</v>
      </c>
      <c r="F16" s="25">
        <f t="array" ref="F16">IFERROR(D16/E16,"")</f>
        <v>0.4499888617</v>
      </c>
      <c r="G16" s="26">
        <f t="array" ref="G16">AVERAGE(F15:F17)</f>
        <v>0.3773192084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21">
        <v>2002.0</v>
      </c>
      <c r="B17" s="22" t="s">
        <v>19</v>
      </c>
      <c r="C17" s="21"/>
      <c r="D17" s="41">
        <f>'Events - Berlin'!B17</f>
        <v>13500</v>
      </c>
      <c r="E17" s="24">
        <f t="array" ref="E17">'Events - Berlin'!N17</f>
        <v>30950</v>
      </c>
      <c r="F17" s="25">
        <f t="array" ref="F17">IFERROR(D17/E17,"")</f>
        <v>0.436187399</v>
      </c>
      <c r="G17" s="26">
        <f t="array" ref="G17">AVERAGE(F16:F18)</f>
        <v>0.3639113103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21">
        <v>2003.0</v>
      </c>
      <c r="B18" s="22" t="s">
        <v>24</v>
      </c>
      <c r="C18" s="27">
        <v>4.0</v>
      </c>
      <c r="D18" s="41">
        <f>'Events - Berlin'!B18</f>
        <v>13500</v>
      </c>
      <c r="E18" s="24">
        <f t="array" ref="E18">'Events - Berlin'!N18</f>
        <v>65675</v>
      </c>
      <c r="F18" s="25">
        <f t="array" ref="F18">IFERROR(D18/E18,"")</f>
        <v>0.2055576703</v>
      </c>
      <c r="G18" s="26">
        <f t="array" ref="G18">AVERAGE(F17:F19)</f>
        <v>0.3122669636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21">
        <v>2004.0</v>
      </c>
      <c r="B19" s="22" t="s">
        <v>21</v>
      </c>
      <c r="C19" s="21">
        <v>2.0</v>
      </c>
      <c r="D19" s="41">
        <f>'Events - Berlin'!B19</f>
        <v>18500</v>
      </c>
      <c r="E19" s="24">
        <f t="array" ref="E19">'Events - Berlin'!N19</f>
        <v>62700</v>
      </c>
      <c r="F19" s="25">
        <f t="array" ref="F19">IFERROR(D19/E19,"")</f>
        <v>0.2950558214</v>
      </c>
      <c r="G19" s="26">
        <f t="array" ref="G19">AVERAGE(F18:F20)</f>
        <v>0.3014865485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21">
        <v>2005.0</v>
      </c>
      <c r="B20" s="22" t="s">
        <v>22</v>
      </c>
      <c r="C20" s="21">
        <v>2.0</v>
      </c>
      <c r="D20" s="41">
        <f>'Events - Berlin'!B20</f>
        <v>10500</v>
      </c>
      <c r="E20" s="24">
        <f t="array" ref="E20">'Events - Berlin'!N20</f>
        <v>26000</v>
      </c>
      <c r="F20" s="25">
        <f t="array" ref="F20">IFERROR(D20/E20,"")</f>
        <v>0.4038461538</v>
      </c>
      <c r="G20" s="26">
        <f t="array" ref="G20">AVERAGE(F19:F21)</f>
        <v>0.3905855387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21">
        <v>2006.0</v>
      </c>
      <c r="B21" s="22" t="s">
        <v>23</v>
      </c>
      <c r="C21" s="27">
        <v>3.0</v>
      </c>
      <c r="D21" s="41">
        <f>'Events - Berlin'!B21</f>
        <v>13500</v>
      </c>
      <c r="E21" s="24">
        <f t="array" ref="E21">'Events - Berlin'!N21</f>
        <v>28550</v>
      </c>
      <c r="F21" s="25">
        <f t="array" ref="F21">IFERROR(D21/E21,"")</f>
        <v>0.472854641</v>
      </c>
      <c r="G21" s="26">
        <f t="array" ref="G21">AVERAGE(F20:F22)</f>
        <v>0.3436537746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21">
        <v>2007.0</v>
      </c>
      <c r="B22" s="22" t="s">
        <v>18</v>
      </c>
      <c r="C22" s="21"/>
      <c r="D22" s="41">
        <f>'Events - Berlin'!B22</f>
        <v>10500</v>
      </c>
      <c r="E22" s="24">
        <f t="array" ref="E22">'Events - Berlin'!N22</f>
        <v>68066.66667</v>
      </c>
      <c r="F22" s="25">
        <f t="array" ref="F22">IFERROR(D22/E22,"")</f>
        <v>0.1542605289</v>
      </c>
      <c r="G22" s="26">
        <f t="array" ref="G22">AVERAGE(F21:F23)</f>
        <v>0.2738581378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21">
        <v>2008.0</v>
      </c>
      <c r="B23" s="22" t="s">
        <v>24</v>
      </c>
      <c r="C23" s="27">
        <v>4.0</v>
      </c>
      <c r="D23" s="41">
        <f>'Events - Berlin'!B23</f>
        <v>9125</v>
      </c>
      <c r="E23" s="24">
        <f t="array" ref="E23">'Events - Berlin'!N23</f>
        <v>46925</v>
      </c>
      <c r="F23" s="25">
        <f t="array" ref="F23">IFERROR(D23/E23,"")</f>
        <v>0.1944592435</v>
      </c>
      <c r="G23" s="26">
        <f t="array" ref="G23">AVERAGE(F22:F24)</f>
        <v>0.186007366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21">
        <v>2009.0</v>
      </c>
      <c r="B24" s="22" t="s">
        <v>20</v>
      </c>
      <c r="C24" s="27">
        <v>3.0</v>
      </c>
      <c r="D24" s="41">
        <f>'Events - Berlin'!B24</f>
        <v>13500</v>
      </c>
      <c r="E24" s="24">
        <f t="array" ref="E24">'Events - Berlin'!N24</f>
        <v>64500</v>
      </c>
      <c r="F24" s="25">
        <f t="array" ref="F24">IFERROR(D24/E24,"")</f>
        <v>0.2093023256</v>
      </c>
      <c r="G24" s="26">
        <f t="array" ref="G24">AVERAGE(F23:F25)</f>
        <v>0.1870065445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21">
        <v>2010.0</v>
      </c>
      <c r="B25" s="22" t="s">
        <v>21</v>
      </c>
      <c r="C25" s="21">
        <v>2.0</v>
      </c>
      <c r="D25" s="41">
        <f>'Events - Berlin'!B25</f>
        <v>9750</v>
      </c>
      <c r="E25" s="24">
        <f t="array" ref="E25">'Events - Berlin'!N25</f>
        <v>62000</v>
      </c>
      <c r="F25" s="25">
        <f t="array" ref="F25">IFERROR(D25/E25,"")</f>
        <v>0.1572580645</v>
      </c>
      <c r="G25" s="26">
        <f t="array" ref="G25">AVERAGE(F24:F26)</f>
        <v>0.1991098736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21">
        <v>2011.0</v>
      </c>
      <c r="B26" s="22" t="s">
        <v>22</v>
      </c>
      <c r="C26" s="21">
        <v>2.0</v>
      </c>
      <c r="D26" s="41">
        <f>'Events - Berlin'!B26</f>
        <v>11500</v>
      </c>
      <c r="E26" s="24">
        <f t="array" ref="E26">'Events - Berlin'!N26</f>
        <v>49833.33333</v>
      </c>
      <c r="F26" s="25">
        <f t="array" ref="F26">IFERROR(D26/E26,"")</f>
        <v>0.2307692308</v>
      </c>
      <c r="G26" s="26">
        <f t="array" ref="G26">AVERAGE(F25:F27)</f>
        <v>0.1967206839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21">
        <v>2012.0</v>
      </c>
      <c r="B27" s="22" t="s">
        <v>18</v>
      </c>
      <c r="C27" s="21"/>
      <c r="D27" s="41">
        <f>'Events - Berlin'!B27</f>
        <v>12625</v>
      </c>
      <c r="E27" s="24">
        <f t="array" ref="E27">'Events - Berlin'!N27</f>
        <v>62458.33333</v>
      </c>
      <c r="F27" s="25">
        <f t="array" ref="F27">IFERROR(D27/E27,"")</f>
        <v>0.2021347565</v>
      </c>
      <c r="G27" s="26">
        <f t="array" ref="G27">AVERAGE(F26:F28)</f>
        <v>0.1953083916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21">
        <v>2013.0</v>
      </c>
      <c r="B28" s="22" t="s">
        <v>19</v>
      </c>
      <c r="C28" s="21"/>
      <c r="D28" s="41">
        <f>'Events - Berlin'!B28</f>
        <v>9750</v>
      </c>
      <c r="E28" s="24">
        <f t="array" ref="E28">'Events - Berlin'!N28</f>
        <v>63716.66667</v>
      </c>
      <c r="F28" s="25">
        <f t="array" ref="F28">IFERROR(D28/E28,"")</f>
        <v>0.1530211875</v>
      </c>
      <c r="G28" s="26">
        <f t="array" ref="G28">AVERAGE(F27:F29)</f>
        <v>0.164681611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21">
        <v>2014.0</v>
      </c>
      <c r="B29" s="22" t="s">
        <v>24</v>
      </c>
      <c r="C29" s="27">
        <v>4.0</v>
      </c>
      <c r="D29" s="41">
        <f>'Events - Berlin'!B29</f>
        <v>10000</v>
      </c>
      <c r="E29" s="24">
        <f t="array" ref="E29">'Events - Berlin'!N29</f>
        <v>72000</v>
      </c>
      <c r="F29" s="25">
        <f t="array" ref="F29">IFERROR(D29/E29,"")</f>
        <v>0.1388888889</v>
      </c>
      <c r="G29" s="26">
        <f t="array" ref="G29">AVERAGE(F28:F30)</f>
        <v>0.1554091113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21">
        <v>2015.0</v>
      </c>
      <c r="B30" s="22" t="s">
        <v>20</v>
      </c>
      <c r="C30" s="27">
        <v>3.0</v>
      </c>
      <c r="D30" s="41">
        <f>'Events - Berlin'!B30</f>
        <v>15000</v>
      </c>
      <c r="E30" s="24">
        <f t="array" ref="E30">'Events - Berlin'!N30</f>
        <v>86050</v>
      </c>
      <c r="F30" s="25">
        <f t="array" ref="F30">IFERROR(D30/E30,"")</f>
        <v>0.1743172574</v>
      </c>
      <c r="G30" s="26">
        <f t="array" ref="G30">AVERAGE(F29:F31)</f>
        <v>0.1800368408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21">
        <v>2016.0</v>
      </c>
      <c r="B31" s="22" t="s">
        <v>22</v>
      </c>
      <c r="C31" s="21">
        <v>2.0</v>
      </c>
      <c r="D31" s="41">
        <f>'Events - Berlin'!B31</f>
        <v>14000</v>
      </c>
      <c r="E31" s="24">
        <f t="array" ref="E31">'Events - Berlin'!N31</f>
        <v>61700</v>
      </c>
      <c r="F31" s="25">
        <f t="array" ref="F31">IFERROR(D31/E31,"")</f>
        <v>0.226904376</v>
      </c>
      <c r="G31" s="26">
        <f t="array" ref="G31">AVERAGE(F30:F32)</f>
        <v>0.1960458404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21">
        <v>2017.0</v>
      </c>
      <c r="B32" s="22" t="s">
        <v>23</v>
      </c>
      <c r="C32" s="27">
        <v>3.0</v>
      </c>
      <c r="D32" s="41">
        <f>'Events - Berlin'!B32</f>
        <v>14000</v>
      </c>
      <c r="E32" s="24">
        <f t="array" ref="E32">'Events - Berlin'!N32</f>
        <v>74900</v>
      </c>
      <c r="F32" s="25">
        <f t="array" ref="F32">IFERROR(D32/E32,"")</f>
        <v>0.1869158879</v>
      </c>
      <c r="G32" s="26">
        <f t="array" ref="G32">AVERAGE(F31:F33)</f>
        <v>0.1788108503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21">
        <v>2018.0</v>
      </c>
      <c r="B33" s="22" t="s">
        <v>18</v>
      </c>
      <c r="C33" s="21"/>
      <c r="D33" s="41">
        <f>'Events - Berlin'!B33</f>
        <v>9500</v>
      </c>
      <c r="E33" s="24">
        <f t="array" ref="E33">'Events - Berlin'!N33</f>
        <v>77480</v>
      </c>
      <c r="F33" s="25">
        <f t="array" ref="F33">IFERROR(D33/E33,"")</f>
        <v>0.122612287</v>
      </c>
      <c r="G33" s="26">
        <f t="array" ref="G33">AVERAGE(F32:F34)</f>
        <v>0.1623948261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21">
        <v>2019.0</v>
      </c>
      <c r="B34" s="22" t="s">
        <v>19</v>
      </c>
      <c r="C34" s="21"/>
      <c r="D34" s="41">
        <f>'Events - Berlin'!B34</f>
        <v>13000</v>
      </c>
      <c r="E34" s="24">
        <f t="array" ref="E34">'Events - Berlin'!N34</f>
        <v>73175</v>
      </c>
      <c r="F34" s="25">
        <f t="array" ref="F34">IFERROR(D34/E34,"")</f>
        <v>0.1776563034</v>
      </c>
      <c r="G34" s="2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29"/>
      <c r="B35" s="30"/>
      <c r="C35" s="30"/>
      <c r="D35" s="30"/>
      <c r="E35" s="30"/>
      <c r="F35" s="30"/>
      <c r="G35" s="3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8"/>
      <c r="B36" s="32"/>
      <c r="C36" s="33" t="s">
        <v>25</v>
      </c>
      <c r="D36" s="42">
        <f t="array" ref="D36">AVERAGE(D5:D34)</f>
        <v>13997.5</v>
      </c>
      <c r="E36" s="32"/>
      <c r="F36" s="32"/>
      <c r="G36" s="3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8"/>
      <c r="B37" s="32"/>
      <c r="C37" s="33" t="s">
        <v>26</v>
      </c>
      <c r="D37" s="42">
        <f t="array" ref="D37">MEDIAN(D5:D34)</f>
        <v>12812.5</v>
      </c>
      <c r="E37" s="32"/>
      <c r="F37" s="32"/>
      <c r="G37" s="3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8"/>
      <c r="B38" s="32"/>
      <c r="C38" s="33" t="s">
        <v>27</v>
      </c>
      <c r="D38" s="42">
        <f t="array" ref="D38">MAX(D5:D34)</f>
        <v>56666.66667</v>
      </c>
      <c r="E38" s="32"/>
      <c r="F38" s="32"/>
      <c r="G38" s="3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8"/>
      <c r="B39" s="32"/>
      <c r="C39" s="33" t="s">
        <v>28</v>
      </c>
      <c r="D39" s="42">
        <f t="array" ref="D39">MIN(D5:D34)</f>
        <v>6000</v>
      </c>
      <c r="E39" s="32"/>
      <c r="F39" s="32"/>
      <c r="G39" s="3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8"/>
      <c r="B40" s="32"/>
      <c r="C40" s="32"/>
      <c r="D40" s="32"/>
      <c r="E40" s="32"/>
      <c r="F40" s="32"/>
      <c r="G40" s="3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8"/>
      <c r="B41" s="32"/>
      <c r="C41" s="32"/>
      <c r="D41" s="32"/>
      <c r="E41" s="32"/>
      <c r="F41" s="32"/>
      <c r="G41" s="3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36"/>
      <c r="B42" s="37"/>
      <c r="C42" s="37"/>
      <c r="D42" s="37"/>
      <c r="E42" s="37"/>
      <c r="F42" s="37"/>
      <c r="G42" s="3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42:G42"/>
  </mergeCells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5" width="24.0"/>
    <col customWidth="1" min="6" max="25" width="8.43"/>
  </cols>
  <sheetData>
    <row r="1" ht="25.5" customHeight="1">
      <c r="A1" s="1" t="s">
        <v>31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32</v>
      </c>
      <c r="B2" s="6"/>
      <c r="C2" s="6"/>
      <c r="D2" s="6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3" t="s">
        <v>33</v>
      </c>
      <c r="B3" s="6"/>
      <c r="C3" s="6"/>
      <c r="D3" s="6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0" customHeight="1">
      <c r="A4" s="44"/>
      <c r="B4" s="6"/>
      <c r="C4" s="6"/>
      <c r="D4" s="6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44"/>
      <c r="B5" s="6"/>
      <c r="C5" s="6"/>
      <c r="D5" s="6"/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44"/>
      <c r="B7" s="6"/>
      <c r="C7" s="6"/>
      <c r="D7" s="6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44"/>
      <c r="B8" s="6"/>
      <c r="C8" s="6"/>
      <c r="D8" s="6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7"/>
      <c r="B9" s="18"/>
      <c r="C9" s="18"/>
      <c r="D9" s="18"/>
      <c r="E9" s="1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5" t="s">
        <v>11</v>
      </c>
      <c r="B10" s="45" t="s">
        <v>34</v>
      </c>
      <c r="C10" s="45" t="s">
        <v>35</v>
      </c>
      <c r="D10" s="45" t="s">
        <v>36</v>
      </c>
      <c r="E10" s="45" t="s">
        <v>37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21">
        <v>1990.0</v>
      </c>
      <c r="B11" s="46">
        <v>11.1</v>
      </c>
      <c r="C11" s="47">
        <v>0.0</v>
      </c>
      <c r="D11" s="48">
        <v>13.2</v>
      </c>
      <c r="E11" s="47">
        <v>0.0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21">
        <v>1991.0</v>
      </c>
      <c r="B12" s="46">
        <v>8.8</v>
      </c>
      <c r="C12" s="47">
        <v>0.0</v>
      </c>
      <c r="D12" s="48">
        <v>6.7</v>
      </c>
      <c r="E12" s="47">
        <v>3.2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21">
        <v>1992.0</v>
      </c>
      <c r="B13" s="46">
        <v>10.5</v>
      </c>
      <c r="C13" s="47">
        <v>0.0</v>
      </c>
      <c r="D13" s="48">
        <v>12.6</v>
      </c>
      <c r="E13" s="47">
        <v>0.0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21">
        <v>1993.0</v>
      </c>
      <c r="B14" s="46">
        <v>16.9</v>
      </c>
      <c r="C14" s="47">
        <v>0.0</v>
      </c>
      <c r="D14" s="48">
        <v>18.8</v>
      </c>
      <c r="E14" s="47">
        <v>0.0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21">
        <v>1994.0</v>
      </c>
      <c r="B15" s="46">
        <v>10.0</v>
      </c>
      <c r="C15" s="47">
        <v>0.1</v>
      </c>
      <c r="D15" s="48">
        <v>7.8</v>
      </c>
      <c r="E15" s="47">
        <v>0.0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21">
        <v>1995.0</v>
      </c>
      <c r="B16" s="46">
        <v>8.2</v>
      </c>
      <c r="C16" s="47">
        <v>0.0</v>
      </c>
      <c r="D16" s="48">
        <v>11.2</v>
      </c>
      <c r="E16" s="47">
        <v>0.0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21">
        <v>1996.0</v>
      </c>
      <c r="B17" s="46">
        <v>13.4</v>
      </c>
      <c r="C17" s="47">
        <v>0.6</v>
      </c>
      <c r="D17" s="48">
        <v>11.6</v>
      </c>
      <c r="E17" s="47">
        <v>0.0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21">
        <v>1997.0</v>
      </c>
      <c r="B18" s="46">
        <v>9.2</v>
      </c>
      <c r="C18" s="47">
        <v>0.0</v>
      </c>
      <c r="D18" s="48">
        <v>10.3</v>
      </c>
      <c r="E18" s="47">
        <v>0.1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21">
        <v>1998.0</v>
      </c>
      <c r="B19" s="46">
        <v>15.2</v>
      </c>
      <c r="C19" s="47">
        <v>0.0</v>
      </c>
      <c r="D19" s="48">
        <v>15.8</v>
      </c>
      <c r="E19" s="47">
        <v>0.0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21">
        <v>1999.0</v>
      </c>
      <c r="B20" s="46">
        <v>10.8</v>
      </c>
      <c r="C20" s="47">
        <v>0.0</v>
      </c>
      <c r="D20" s="48">
        <v>9.1</v>
      </c>
      <c r="E20" s="47">
        <v>0.0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21">
        <v>2000.0</v>
      </c>
      <c r="B21" s="46">
        <v>19.9</v>
      </c>
      <c r="C21" s="47">
        <v>0.0</v>
      </c>
      <c r="D21" s="48">
        <v>18.1</v>
      </c>
      <c r="E21" s="47">
        <v>0.0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21">
        <v>2001.0</v>
      </c>
      <c r="B22" s="46">
        <v>18.9</v>
      </c>
      <c r="C22" s="47">
        <v>0.0</v>
      </c>
      <c r="D22" s="48">
        <v>16.3</v>
      </c>
      <c r="E22" s="47">
        <v>0.0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21">
        <v>2002.0</v>
      </c>
      <c r="B23" s="46">
        <v>13.2</v>
      </c>
      <c r="C23" s="47">
        <v>0.0</v>
      </c>
      <c r="D23" s="48">
        <v>14.6</v>
      </c>
      <c r="E23" s="47">
        <v>0.0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21">
        <v>2003.0</v>
      </c>
      <c r="B24" s="46">
        <v>15.4</v>
      </c>
      <c r="C24" s="47">
        <v>1.8</v>
      </c>
      <c r="D24" s="48">
        <v>13.3</v>
      </c>
      <c r="E24" s="47">
        <v>0.5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21">
        <v>2004.0</v>
      </c>
      <c r="B25" s="46">
        <v>12.8</v>
      </c>
      <c r="C25" s="47">
        <v>0.0</v>
      </c>
      <c r="D25" s="48">
        <v>16.4</v>
      </c>
      <c r="E25" s="47">
        <v>0.0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21">
        <v>2005.0</v>
      </c>
      <c r="B26" s="46">
        <v>13.2</v>
      </c>
      <c r="C26" s="47">
        <v>0.0</v>
      </c>
      <c r="D26" s="48">
        <v>16.5</v>
      </c>
      <c r="E26" s="47">
        <v>0.0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21">
        <v>2006.0</v>
      </c>
      <c r="B27" s="46">
        <v>12.7</v>
      </c>
      <c r="C27" s="47">
        <v>0.0</v>
      </c>
      <c r="D27" s="48">
        <v>9.0</v>
      </c>
      <c r="E27" s="47">
        <v>0.0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21">
        <v>2007.0</v>
      </c>
      <c r="B28" s="46">
        <v>4.3</v>
      </c>
      <c r="C28" s="47">
        <v>0.0</v>
      </c>
      <c r="D28" s="48">
        <v>7.9</v>
      </c>
      <c r="E28" s="47">
        <v>0.0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21">
        <v>2008.0</v>
      </c>
      <c r="B29" s="46">
        <v>14.2</v>
      </c>
      <c r="C29" s="47">
        <v>0.0</v>
      </c>
      <c r="D29" s="48">
        <v>10.9</v>
      </c>
      <c r="E29" s="47">
        <v>3.9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21">
        <v>2009.0</v>
      </c>
      <c r="B30" s="46">
        <v>11.0</v>
      </c>
      <c r="C30" s="47">
        <v>0.0</v>
      </c>
      <c r="D30" s="48">
        <v>14.1</v>
      </c>
      <c r="E30" s="47">
        <v>0.0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21">
        <v>2010.0</v>
      </c>
      <c r="B31" s="46">
        <v>15.4</v>
      </c>
      <c r="C31" s="47">
        <v>2.4</v>
      </c>
      <c r="D31" s="48">
        <v>13.0</v>
      </c>
      <c r="E31" s="47">
        <v>0.0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21">
        <v>2011.0</v>
      </c>
      <c r="B32" s="46">
        <v>11.1</v>
      </c>
      <c r="C32" s="47">
        <v>2.2</v>
      </c>
      <c r="D32" s="48">
        <v>9.3</v>
      </c>
      <c r="E32" s="47">
        <v>0.0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21">
        <v>2012.0</v>
      </c>
      <c r="B33" s="46">
        <v>21.1</v>
      </c>
      <c r="C33" s="47">
        <v>0.0</v>
      </c>
      <c r="D33" s="48">
        <v>16.0</v>
      </c>
      <c r="E33" s="47">
        <v>0.0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21">
        <v>2013.0</v>
      </c>
      <c r="B34" s="46">
        <v>10.2</v>
      </c>
      <c r="C34" s="47">
        <v>0.0</v>
      </c>
      <c r="D34" s="48">
        <v>10.3</v>
      </c>
      <c r="E34" s="47">
        <v>0.0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21">
        <v>2014.0</v>
      </c>
      <c r="B35" s="46">
        <v>15.0</v>
      </c>
      <c r="C35" s="47">
        <v>0.0</v>
      </c>
      <c r="D35" s="48">
        <v>14.6</v>
      </c>
      <c r="E35" s="47">
        <v>0.0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21">
        <v>2015.0</v>
      </c>
      <c r="B36" s="46">
        <v>12.2</v>
      </c>
      <c r="C36" s="47">
        <v>0.0</v>
      </c>
      <c r="D36" s="48">
        <v>9.2</v>
      </c>
      <c r="E36" s="47">
        <v>0.1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21">
        <v>2016.0</v>
      </c>
      <c r="B37" s="46">
        <v>9.8</v>
      </c>
      <c r="C37" s="47">
        <v>0.0</v>
      </c>
      <c r="D37" s="48">
        <v>11.7</v>
      </c>
      <c r="E37" s="47">
        <v>0.0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21">
        <v>2017.0</v>
      </c>
      <c r="B38" s="46">
        <v>8.6</v>
      </c>
      <c r="C38" s="47">
        <v>0.0</v>
      </c>
      <c r="D38" s="48">
        <v>10.0</v>
      </c>
      <c r="E38" s="47">
        <v>0.0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21">
        <v>2018.0</v>
      </c>
      <c r="B39" s="46">
        <v>20.2</v>
      </c>
      <c r="C39" s="47">
        <v>0.0</v>
      </c>
      <c r="D39" s="48">
        <v>13.2</v>
      </c>
      <c r="E39" s="47">
        <v>0.0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21">
        <v>2019.0</v>
      </c>
      <c r="B40" s="46">
        <v>13.9</v>
      </c>
      <c r="C40" s="47">
        <v>0.0</v>
      </c>
      <c r="D40" s="48">
        <v>11.8</v>
      </c>
      <c r="E40" s="47">
        <v>0.1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7:E7"/>
    <mergeCell ref="A8:E8"/>
  </mergeCells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6" t="s">
        <v>38</v>
      </c>
      <c r="B1" s="2"/>
      <c r="C1" s="2"/>
      <c r="D1" s="2"/>
      <c r="E1" s="2"/>
      <c r="F1" s="2"/>
      <c r="G1" s="2"/>
      <c r="H1" s="2"/>
      <c r="I1" s="2"/>
      <c r="J1" s="3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0" t="s">
        <v>39</v>
      </c>
      <c r="B2" s="6"/>
      <c r="C2" s="6"/>
      <c r="D2" s="6"/>
      <c r="E2" s="6"/>
      <c r="F2" s="6"/>
      <c r="G2" s="6"/>
      <c r="H2" s="6"/>
      <c r="I2" s="6"/>
      <c r="J2" s="7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1"/>
      <c r="B3" s="52"/>
      <c r="C3" s="52"/>
      <c r="D3" s="52"/>
      <c r="E3" s="52"/>
      <c r="F3" s="52"/>
      <c r="G3" s="52"/>
      <c r="H3" s="52"/>
      <c r="I3" s="52"/>
      <c r="J3" s="53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54" t="s">
        <v>11</v>
      </c>
      <c r="B4" s="55" t="s">
        <v>40</v>
      </c>
      <c r="C4" s="56" t="s">
        <v>41</v>
      </c>
      <c r="D4" s="56" t="s">
        <v>42</v>
      </c>
      <c r="E4" s="56" t="s">
        <v>43</v>
      </c>
      <c r="F4" s="57" t="s">
        <v>44</v>
      </c>
      <c r="G4" s="58" t="s">
        <v>45</v>
      </c>
      <c r="H4" s="58" t="s">
        <v>46</v>
      </c>
      <c r="I4" s="58" t="s">
        <v>47</v>
      </c>
      <c r="J4" s="54" t="s">
        <v>48</v>
      </c>
      <c r="K4" s="49" t="s">
        <v>49</v>
      </c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9">
        <v>1990.0</v>
      </c>
      <c r="B5" s="60">
        <f>'Sources - Averages (Warsaw)'!D5</f>
        <v>14250</v>
      </c>
      <c r="C5" s="61"/>
      <c r="D5" s="60">
        <v>250.0</v>
      </c>
      <c r="E5" s="60">
        <v>50.0</v>
      </c>
      <c r="F5" s="61"/>
      <c r="G5" s="61"/>
      <c r="H5" s="60">
        <v>3000.0</v>
      </c>
      <c r="I5" s="61"/>
      <c r="J5" s="62">
        <f t="array" ref="J5">SUM(B5:I5)</f>
        <v>17550</v>
      </c>
      <c r="K5" s="63">
        <f t="shared" ref="K5:K34" si="1">J5-B5</f>
        <v>3300</v>
      </c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9">
        <v>1991.0</v>
      </c>
      <c r="B6" s="60">
        <f>'Sources - Averages (Warsaw)'!D6</f>
        <v>12500</v>
      </c>
      <c r="C6" s="60">
        <v>200.0</v>
      </c>
      <c r="D6" s="61"/>
      <c r="E6" s="60">
        <v>30.0</v>
      </c>
      <c r="F6" s="61"/>
      <c r="G6" s="61"/>
      <c r="H6" s="60">
        <v>300.0</v>
      </c>
      <c r="I6" s="61"/>
      <c r="J6" s="62">
        <f t="array" ref="J6">SUM(B6:I6)</f>
        <v>13030</v>
      </c>
      <c r="K6" s="63">
        <f t="shared" si="1"/>
        <v>530</v>
      </c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9">
        <v>1992.0</v>
      </c>
      <c r="B7" s="60">
        <f>'Sources - Averages (Warsaw)'!D7</f>
        <v>24000</v>
      </c>
      <c r="C7" s="60">
        <v>200.0</v>
      </c>
      <c r="D7" s="61"/>
      <c r="E7" s="61"/>
      <c r="F7" s="61"/>
      <c r="G7" s="61"/>
      <c r="H7" s="60">
        <v>300.0</v>
      </c>
      <c r="I7" s="61"/>
      <c r="J7" s="62">
        <f t="array" ref="J7">SUM(B7:I7)</f>
        <v>24500</v>
      </c>
      <c r="K7" s="63">
        <f t="shared" si="1"/>
        <v>500</v>
      </c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59">
        <v>1993.0</v>
      </c>
      <c r="B8" s="60">
        <f>'Sources - Averages (Warsaw)'!D8</f>
        <v>6166.666667</v>
      </c>
      <c r="C8" s="61"/>
      <c r="D8" s="61"/>
      <c r="E8" s="61"/>
      <c r="F8" s="61"/>
      <c r="G8" s="61"/>
      <c r="H8" s="60">
        <v>300.0</v>
      </c>
      <c r="I8" s="61"/>
      <c r="J8" s="62">
        <f t="array" ref="J8">SUM(B8:I8)</f>
        <v>6466.666667</v>
      </c>
      <c r="K8" s="63">
        <f t="shared" si="1"/>
        <v>300</v>
      </c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59">
        <v>1994.0</v>
      </c>
      <c r="B9" s="60">
        <f>'Sources - Averages (Warsaw)'!D9</f>
        <v>3000</v>
      </c>
      <c r="C9" s="60">
        <v>100.0</v>
      </c>
      <c r="D9" s="61"/>
      <c r="E9" s="61"/>
      <c r="F9" s="61"/>
      <c r="G9" s="61"/>
      <c r="H9" s="60">
        <v>300.0</v>
      </c>
      <c r="I9" s="61"/>
      <c r="J9" s="62">
        <f t="array" ref="J9">SUM(B9:I9)</f>
        <v>3400</v>
      </c>
      <c r="K9" s="63">
        <f t="shared" si="1"/>
        <v>400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59">
        <v>1995.0</v>
      </c>
      <c r="B10" s="60">
        <f>'Sources - Averages (Warsaw)'!D10</f>
        <v>4500</v>
      </c>
      <c r="C10" s="60">
        <v>80.0</v>
      </c>
      <c r="D10" s="61"/>
      <c r="E10" s="60">
        <v>400.0</v>
      </c>
      <c r="F10" s="60">
        <v>100.0</v>
      </c>
      <c r="G10" s="61"/>
      <c r="H10" s="61"/>
      <c r="I10" s="60">
        <v>200.0</v>
      </c>
      <c r="J10" s="62">
        <f t="array" ref="J10">SUM(B10:I10)</f>
        <v>5280</v>
      </c>
      <c r="K10" s="63">
        <f t="shared" si="1"/>
        <v>780</v>
      </c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59">
        <v>1996.0</v>
      </c>
      <c r="B11" s="60">
        <f>'Sources - Averages (Warsaw)'!D11</f>
        <v>4500</v>
      </c>
      <c r="C11" s="60">
        <v>100.0</v>
      </c>
      <c r="D11" s="61"/>
      <c r="E11" s="60">
        <v>500.0</v>
      </c>
      <c r="F11" s="61"/>
      <c r="G11" s="61"/>
      <c r="H11" s="61"/>
      <c r="I11" s="61"/>
      <c r="J11" s="62">
        <f t="array" ref="J11">SUM(B11:I11)</f>
        <v>5100</v>
      </c>
      <c r="K11" s="63">
        <f t="shared" si="1"/>
        <v>600</v>
      </c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59">
        <v>1997.0</v>
      </c>
      <c r="B12" s="60">
        <f>'Sources - Averages (Warsaw)'!D12</f>
        <v>2500</v>
      </c>
      <c r="C12" s="60">
        <v>150.0</v>
      </c>
      <c r="D12" s="61"/>
      <c r="E12" s="61"/>
      <c r="F12" s="61"/>
      <c r="G12" s="61"/>
      <c r="H12" s="61"/>
      <c r="I12" s="61"/>
      <c r="J12" s="62">
        <f t="array" ref="J12">SUM(B12:I12)</f>
        <v>2650</v>
      </c>
      <c r="K12" s="63">
        <f t="shared" si="1"/>
        <v>150</v>
      </c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59">
        <v>1998.0</v>
      </c>
      <c r="B13" s="60">
        <f>'Sources - Averages (Warsaw)'!D13</f>
        <v>4000</v>
      </c>
      <c r="C13" s="60">
        <v>150.0</v>
      </c>
      <c r="D13" s="61"/>
      <c r="E13" s="61"/>
      <c r="F13" s="61"/>
      <c r="G13" s="61"/>
      <c r="H13" s="61"/>
      <c r="I13" s="61"/>
      <c r="J13" s="62">
        <f t="array" ref="J13">SUM(B13:I13)</f>
        <v>4150</v>
      </c>
      <c r="K13" s="63">
        <f t="shared" si="1"/>
        <v>150</v>
      </c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59">
        <v>1999.0</v>
      </c>
      <c r="B14" s="60">
        <f>'Sources - Averages (Warsaw)'!D14</f>
        <v>9200</v>
      </c>
      <c r="C14" s="60">
        <v>150.0</v>
      </c>
      <c r="D14" s="61"/>
      <c r="E14" s="61"/>
      <c r="F14" s="61"/>
      <c r="G14" s="61"/>
      <c r="H14" s="61"/>
      <c r="I14" s="61"/>
      <c r="J14" s="62">
        <f t="array" ref="J14">SUM(B14:I14)</f>
        <v>9350</v>
      </c>
      <c r="K14" s="63">
        <f t="shared" si="1"/>
        <v>150</v>
      </c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59">
        <v>2000.0</v>
      </c>
      <c r="B15" s="60">
        <f>'Sources - Averages (Warsaw)'!D15</f>
        <v>2250</v>
      </c>
      <c r="C15" s="60">
        <v>150.0</v>
      </c>
      <c r="D15" s="61"/>
      <c r="E15" s="61"/>
      <c r="F15" s="60">
        <v>50.0</v>
      </c>
      <c r="G15" s="61"/>
      <c r="H15" s="61"/>
      <c r="I15" s="61"/>
      <c r="J15" s="62">
        <f t="array" ref="J15">SUM(B15:I15)</f>
        <v>2450</v>
      </c>
      <c r="K15" s="63">
        <f t="shared" si="1"/>
        <v>200</v>
      </c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59">
        <v>2001.0</v>
      </c>
      <c r="B16" s="60">
        <f>'Sources - Averages (Warsaw)'!D16</f>
        <v>7500</v>
      </c>
      <c r="C16" s="60">
        <v>150.0</v>
      </c>
      <c r="D16" s="61"/>
      <c r="E16" s="60">
        <v>300.0</v>
      </c>
      <c r="F16" s="61"/>
      <c r="G16" s="60">
        <v>200.0</v>
      </c>
      <c r="H16" s="61"/>
      <c r="I16" s="61"/>
      <c r="J16" s="62">
        <f t="array" ref="J16">SUM(B16:I16)</f>
        <v>8150</v>
      </c>
      <c r="K16" s="63">
        <f t="shared" si="1"/>
        <v>650</v>
      </c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59">
        <v>2002.0</v>
      </c>
      <c r="B17" s="60">
        <f>'Sources - Averages (Warsaw)'!D17</f>
        <v>2100</v>
      </c>
      <c r="C17" s="61"/>
      <c r="D17" s="60">
        <v>200.0</v>
      </c>
      <c r="E17" s="61"/>
      <c r="F17" s="61"/>
      <c r="G17" s="60">
        <v>1500.0</v>
      </c>
      <c r="H17" s="61"/>
      <c r="I17" s="61"/>
      <c r="J17" s="62">
        <f t="array" ref="J17">SUM(B17:I17)</f>
        <v>3800</v>
      </c>
      <c r="K17" s="63">
        <f t="shared" si="1"/>
        <v>1700</v>
      </c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59">
        <v>2003.0</v>
      </c>
      <c r="B18" s="60">
        <f>'Sources - Averages (Warsaw)'!D18</f>
        <v>3333.333333</v>
      </c>
      <c r="C18" s="61"/>
      <c r="D18" s="60">
        <v>500.0</v>
      </c>
      <c r="E18" s="60">
        <v>300.0</v>
      </c>
      <c r="F18" s="61"/>
      <c r="G18" s="60">
        <v>3500.0</v>
      </c>
      <c r="H18" s="61"/>
      <c r="I18" s="61"/>
      <c r="J18" s="62">
        <f t="array" ref="J18">SUM(B18:I18)</f>
        <v>7633.333333</v>
      </c>
      <c r="K18" s="63">
        <f t="shared" si="1"/>
        <v>4300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59">
        <v>2004.0</v>
      </c>
      <c r="B19" s="60">
        <f>'Sources - Averages (Warsaw)'!D19</f>
        <v>666.6666667</v>
      </c>
      <c r="C19" s="61"/>
      <c r="D19" s="60">
        <v>200.0</v>
      </c>
      <c r="E19" s="61"/>
      <c r="F19" s="60">
        <v>2000.0</v>
      </c>
      <c r="G19" s="61"/>
      <c r="H19" s="61"/>
      <c r="I19" s="61"/>
      <c r="J19" s="62">
        <f t="array" ref="J19">SUM(B19:I19)</f>
        <v>2866.666667</v>
      </c>
      <c r="K19" s="63">
        <f t="shared" si="1"/>
        <v>2200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59">
        <v>2005.0</v>
      </c>
      <c r="B20" s="60">
        <f>'Sources - Averages (Warsaw)'!D20</f>
        <v>633.3333333</v>
      </c>
      <c r="C20" s="61"/>
      <c r="D20" s="60">
        <v>300.0</v>
      </c>
      <c r="E20" s="61"/>
      <c r="F20" s="61"/>
      <c r="G20" s="61"/>
      <c r="H20" s="61"/>
      <c r="I20" s="61"/>
      <c r="J20" s="62">
        <f t="array" ref="J20">SUM(B20:I20)</f>
        <v>933.3333333</v>
      </c>
      <c r="K20" s="63">
        <f t="shared" si="1"/>
        <v>300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59">
        <v>2006.0</v>
      </c>
      <c r="B21" s="60">
        <f>'Sources - Averages (Warsaw)'!D21</f>
        <v>1520</v>
      </c>
      <c r="C21" s="61"/>
      <c r="D21" s="60">
        <v>250.0</v>
      </c>
      <c r="E21" s="61"/>
      <c r="F21" s="61"/>
      <c r="G21" s="61"/>
      <c r="H21" s="61"/>
      <c r="I21" s="61"/>
      <c r="J21" s="62">
        <f t="array" ref="J21">SUM(B21:I21)</f>
        <v>1770</v>
      </c>
      <c r="K21" s="63">
        <f t="shared" si="1"/>
        <v>250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59">
        <v>2007.0</v>
      </c>
      <c r="B22" s="60">
        <f>'Sources - Averages (Warsaw)'!D22</f>
        <v>1400</v>
      </c>
      <c r="C22" s="61"/>
      <c r="D22" s="60">
        <v>300.0</v>
      </c>
      <c r="E22" s="60">
        <v>80.0</v>
      </c>
      <c r="F22" s="61"/>
      <c r="G22" s="61"/>
      <c r="H22" s="61"/>
      <c r="I22" s="61"/>
      <c r="J22" s="62">
        <f t="array" ref="J22">SUM(B22:I22)</f>
        <v>1780</v>
      </c>
      <c r="K22" s="63">
        <f t="shared" si="1"/>
        <v>380</v>
      </c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59">
        <v>2008.0</v>
      </c>
      <c r="B23" s="60">
        <f>'Sources - Averages (Warsaw)'!D23</f>
        <v>2214.285714</v>
      </c>
      <c r="C23" s="61"/>
      <c r="D23" s="60">
        <v>200.0</v>
      </c>
      <c r="E23" s="60">
        <v>200.0</v>
      </c>
      <c r="F23" s="61"/>
      <c r="G23" s="61"/>
      <c r="H23" s="61"/>
      <c r="I23" s="61"/>
      <c r="J23" s="62">
        <f t="array" ref="J23">SUM(B23:I23)</f>
        <v>2614.285714</v>
      </c>
      <c r="K23" s="63">
        <f t="shared" si="1"/>
        <v>400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59">
        <v>2009.0</v>
      </c>
      <c r="B24" s="60">
        <f>'Sources - Averages (Warsaw)'!D24</f>
        <v>1357.142857</v>
      </c>
      <c r="C24" s="61"/>
      <c r="D24" s="60">
        <v>300.0</v>
      </c>
      <c r="E24" s="60">
        <v>40.0</v>
      </c>
      <c r="F24" s="60">
        <v>6.0</v>
      </c>
      <c r="G24" s="61"/>
      <c r="H24" s="61"/>
      <c r="I24" s="61"/>
      <c r="J24" s="62">
        <f t="array" ref="J24">SUM(B24:I24)</f>
        <v>1703.142857</v>
      </c>
      <c r="K24" s="63">
        <f t="shared" si="1"/>
        <v>346</v>
      </c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59">
        <v>2010.0</v>
      </c>
      <c r="B25" s="60">
        <f>'Sources - Averages (Warsaw)'!D25</f>
        <v>440</v>
      </c>
      <c r="C25" s="61"/>
      <c r="D25" s="60">
        <v>150.0</v>
      </c>
      <c r="E25" s="61"/>
      <c r="F25" s="61"/>
      <c r="G25" s="61"/>
      <c r="H25" s="61"/>
      <c r="I25" s="61"/>
      <c r="J25" s="62">
        <f t="array" ref="J25">SUM(B25:I25)</f>
        <v>590</v>
      </c>
      <c r="K25" s="63">
        <f t="shared" si="1"/>
        <v>150</v>
      </c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59">
        <v>2011.0</v>
      </c>
      <c r="B26" s="60">
        <f>'Sources - Averages (Warsaw)'!D26</f>
        <v>133.3333333</v>
      </c>
      <c r="C26" s="61"/>
      <c r="D26" s="60">
        <v>150.0</v>
      </c>
      <c r="E26" s="61"/>
      <c r="F26" s="61"/>
      <c r="G26" s="61"/>
      <c r="H26" s="61"/>
      <c r="I26" s="61"/>
      <c r="J26" s="62">
        <f t="array" ref="J26">SUM(B26:I26)</f>
        <v>283.3333333</v>
      </c>
      <c r="K26" s="63">
        <f t="shared" si="1"/>
        <v>150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59">
        <v>2012.0</v>
      </c>
      <c r="B27" s="60">
        <f>'Sources - Averages (Warsaw)'!D27</f>
        <v>11750</v>
      </c>
      <c r="C27" s="61"/>
      <c r="D27" s="61"/>
      <c r="E27" s="60">
        <v>150.0</v>
      </c>
      <c r="F27" s="60">
        <v>500.0</v>
      </c>
      <c r="G27" s="61"/>
      <c r="H27" s="61"/>
      <c r="I27" s="61"/>
      <c r="J27" s="62">
        <f t="array" ref="J27">SUM(B27:I27)</f>
        <v>12400</v>
      </c>
      <c r="K27" s="63">
        <f t="shared" si="1"/>
        <v>650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59">
        <v>2013.0</v>
      </c>
      <c r="B28" s="60">
        <f>'Sources - Averages (Warsaw)'!D28</f>
        <v>20000</v>
      </c>
      <c r="C28" s="61"/>
      <c r="D28" s="60">
        <v>200.0</v>
      </c>
      <c r="E28" s="61"/>
      <c r="F28" s="60">
        <v>500.0</v>
      </c>
      <c r="G28" s="61"/>
      <c r="H28" s="61"/>
      <c r="I28" s="61"/>
      <c r="J28" s="62">
        <f t="array" ref="J28">SUM(B28:I28)</f>
        <v>20700</v>
      </c>
      <c r="K28" s="63">
        <f t="shared" si="1"/>
        <v>700</v>
      </c>
      <c r="L28" s="49"/>
      <c r="M28" s="49"/>
      <c r="N28" s="49"/>
      <c r="O28" s="49" t="s">
        <v>50</v>
      </c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59">
        <v>2014.0</v>
      </c>
      <c r="B29" s="60">
        <f>'Sources - Averages (Warsaw)'!D29</f>
        <v>7333.333333</v>
      </c>
      <c r="C29" s="61"/>
      <c r="D29" s="60">
        <v>400.0</v>
      </c>
      <c r="E29" s="61"/>
      <c r="F29" s="60">
        <v>450.0</v>
      </c>
      <c r="G29" s="61"/>
      <c r="H29" s="61"/>
      <c r="I29" s="61"/>
      <c r="J29" s="62">
        <f t="array" ref="J29">SUM(B29:I29)</f>
        <v>8183.333333</v>
      </c>
      <c r="K29" s="63">
        <f t="shared" si="1"/>
        <v>850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59">
        <v>2015.0</v>
      </c>
      <c r="B30" s="60">
        <f>'Sources - Averages (Warsaw)'!D30</f>
        <v>0</v>
      </c>
      <c r="C30" s="61"/>
      <c r="D30" s="60">
        <v>450.0</v>
      </c>
      <c r="E30" s="61"/>
      <c r="F30" s="60">
        <v>250.0</v>
      </c>
      <c r="G30" s="61"/>
      <c r="H30" s="61"/>
      <c r="I30" s="61"/>
      <c r="J30" s="62">
        <f t="array" ref="J30">SUM(B30:I30)</f>
        <v>700</v>
      </c>
      <c r="K30" s="63">
        <f t="shared" si="1"/>
        <v>700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59">
        <v>2016.0</v>
      </c>
      <c r="B31" s="60">
        <f>'Sources - Averages (Warsaw)'!D31</f>
        <v>5375</v>
      </c>
      <c r="C31" s="61"/>
      <c r="D31" s="60">
        <v>400.0</v>
      </c>
      <c r="E31" s="61"/>
      <c r="F31" s="60">
        <v>150.0</v>
      </c>
      <c r="G31" s="61"/>
      <c r="H31" s="61"/>
      <c r="I31" s="61"/>
      <c r="J31" s="62">
        <f t="array" ref="J31">SUM(B31:I31)</f>
        <v>5925</v>
      </c>
      <c r="K31" s="63">
        <f t="shared" si="1"/>
        <v>550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59">
        <v>2017.0</v>
      </c>
      <c r="B32" s="60">
        <f>'Sources - Averages (Warsaw)'!D32</f>
        <v>650</v>
      </c>
      <c r="C32" s="61"/>
      <c r="D32" s="60">
        <v>400.0</v>
      </c>
      <c r="E32" s="61"/>
      <c r="F32" s="61"/>
      <c r="G32" s="61"/>
      <c r="H32" s="61"/>
      <c r="I32" s="61"/>
      <c r="J32" s="62">
        <f t="array" ref="J32">SUM(B32:I32)</f>
        <v>1050</v>
      </c>
      <c r="K32" s="63">
        <f t="shared" si="1"/>
        <v>400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59">
        <v>2018.0</v>
      </c>
      <c r="B33" s="60">
        <f>'Sources - Averages (Warsaw)'!D33</f>
        <v>775</v>
      </c>
      <c r="C33" s="61"/>
      <c r="D33" s="60">
        <v>400.0</v>
      </c>
      <c r="E33" s="61"/>
      <c r="F33" s="60">
        <v>50.0</v>
      </c>
      <c r="G33" s="61"/>
      <c r="H33" s="61"/>
      <c r="I33" s="61"/>
      <c r="J33" s="62">
        <f t="array" ref="J33">SUM(B33:I33)</f>
        <v>1225</v>
      </c>
      <c r="K33" s="63">
        <f t="shared" si="1"/>
        <v>450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59">
        <v>2019.0</v>
      </c>
      <c r="B34" s="60">
        <f>'Sources - Averages (Warsaw)'!D34</f>
        <v>0</v>
      </c>
      <c r="C34" s="61"/>
      <c r="D34" s="60">
        <v>350.0</v>
      </c>
      <c r="E34" s="61"/>
      <c r="F34" s="60">
        <v>3000.0</v>
      </c>
      <c r="G34" s="61"/>
      <c r="H34" s="61"/>
      <c r="I34" s="61"/>
      <c r="J34" s="62">
        <f t="array" ref="J34">SUM(B34:I34)</f>
        <v>3350</v>
      </c>
      <c r="K34" s="63">
        <f t="shared" si="1"/>
        <v>3350</v>
      </c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64"/>
      <c r="B35" s="65"/>
      <c r="C35" s="65"/>
      <c r="D35" s="65"/>
      <c r="E35" s="65"/>
      <c r="F35" s="65"/>
      <c r="G35" s="65"/>
      <c r="H35" s="65"/>
      <c r="I35" s="65"/>
      <c r="J35" s="66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67" t="s">
        <v>51</v>
      </c>
      <c r="B36" s="68"/>
      <c r="C36" s="68"/>
      <c r="D36" s="68"/>
      <c r="E36" s="68"/>
      <c r="F36" s="68"/>
      <c r="G36" s="68"/>
      <c r="H36" s="68"/>
      <c r="I36" s="68"/>
      <c r="J36" s="6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70" t="s">
        <v>40</v>
      </c>
      <c r="B37" s="71">
        <f t="array" ref="B37">IFERROR(AVERAGE(B5:B34),"-")</f>
        <v>5134.936508</v>
      </c>
      <c r="C37" s="72">
        <f t="array" ref="C37">COUNT(B5:B34)</f>
        <v>30</v>
      </c>
      <c r="D37" s="73" t="s">
        <v>52</v>
      </c>
      <c r="E37" s="68"/>
      <c r="F37" s="68"/>
      <c r="G37" s="68"/>
      <c r="H37" s="68"/>
      <c r="I37" s="68"/>
      <c r="J37" s="6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70" t="s">
        <v>41</v>
      </c>
      <c r="B38" s="71">
        <f t="array" ref="B38">IFERROR(AVERAGE(C5:C34),"-")</f>
        <v>143</v>
      </c>
      <c r="C38" s="72">
        <f t="array" ref="C38">COUNT(C5:C34)</f>
        <v>10</v>
      </c>
      <c r="D38" s="73" t="s">
        <v>52</v>
      </c>
      <c r="E38" s="68"/>
      <c r="F38" s="68"/>
      <c r="G38" s="68"/>
      <c r="H38" s="68"/>
      <c r="I38" s="68"/>
      <c r="J38" s="6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70" t="s">
        <v>42</v>
      </c>
      <c r="B39" s="71">
        <f t="array" ref="B39">IFERROR(AVERAGE(D5:D34),"-")</f>
        <v>300</v>
      </c>
      <c r="C39" s="72">
        <f t="array" ref="C39">COUNT(D5:D34)</f>
        <v>18</v>
      </c>
      <c r="D39" s="73" t="s">
        <v>52</v>
      </c>
      <c r="E39" s="68"/>
      <c r="F39" s="68"/>
      <c r="G39" s="68"/>
      <c r="H39" s="68"/>
      <c r="I39" s="68"/>
      <c r="J39" s="6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70" t="s">
        <v>43</v>
      </c>
      <c r="B40" s="71">
        <f t="array" ref="B40">IFERROR(AVERAGE(E5:E34),"-")</f>
        <v>205</v>
      </c>
      <c r="C40" s="72">
        <f t="array" ref="C40">COUNT(E5:E34)</f>
        <v>10</v>
      </c>
      <c r="D40" s="73" t="s">
        <v>52</v>
      </c>
      <c r="E40" s="68"/>
      <c r="F40" s="68"/>
      <c r="G40" s="68"/>
      <c r="H40" s="68"/>
      <c r="I40" s="68"/>
      <c r="J40" s="6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70" t="s">
        <v>44</v>
      </c>
      <c r="B41" s="71">
        <f t="array" ref="B41">IFERROR(AVERAGE(F5:F34),"-")</f>
        <v>641.4545455</v>
      </c>
      <c r="C41" s="72">
        <f t="array" ref="C41">COUNT(F5:F34)</f>
        <v>11</v>
      </c>
      <c r="D41" s="73" t="s">
        <v>52</v>
      </c>
      <c r="E41" s="68"/>
      <c r="F41" s="68"/>
      <c r="G41" s="68"/>
      <c r="H41" s="68"/>
      <c r="I41" s="68"/>
      <c r="J41" s="6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70" t="s">
        <v>45</v>
      </c>
      <c r="B42" s="71">
        <f t="array" ref="B42">IFERROR(AVERAGE(G5:G34),"-")</f>
        <v>1733.333333</v>
      </c>
      <c r="C42" s="72">
        <f t="array" ref="C42">COUNT(G5:G34)</f>
        <v>3</v>
      </c>
      <c r="D42" s="73" t="s">
        <v>52</v>
      </c>
      <c r="E42" s="68"/>
      <c r="F42" s="68"/>
      <c r="G42" s="68"/>
      <c r="H42" s="68"/>
      <c r="I42" s="68"/>
      <c r="J42" s="6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70" t="s">
        <v>46</v>
      </c>
      <c r="B43" s="71">
        <f t="array" ref="B43">IFERROR(AVERAGE(H5:H34),"-")</f>
        <v>840</v>
      </c>
      <c r="C43" s="72">
        <f t="array" ref="C43">COUNT(H5:H34)</f>
        <v>5</v>
      </c>
      <c r="D43" s="73" t="s">
        <v>52</v>
      </c>
      <c r="E43" s="68"/>
      <c r="F43" s="68"/>
      <c r="G43" s="68"/>
      <c r="H43" s="68"/>
      <c r="I43" s="68"/>
      <c r="J43" s="6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70" t="s">
        <v>47</v>
      </c>
      <c r="B44" s="71">
        <f t="array" ref="B44">IFERROR(AVERAGE(I5:I34),"-")</f>
        <v>200</v>
      </c>
      <c r="C44" s="72">
        <f t="array" ref="C44">COUNT(I5:I34)</f>
        <v>1</v>
      </c>
      <c r="D44" s="73" t="s">
        <v>52</v>
      </c>
      <c r="E44" s="68"/>
      <c r="F44" s="68"/>
      <c r="G44" s="68"/>
      <c r="H44" s="68"/>
      <c r="I44" s="68"/>
      <c r="J44" s="6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74"/>
      <c r="B45" s="68"/>
      <c r="C45" s="68"/>
      <c r="D45" s="68"/>
      <c r="E45" s="68"/>
      <c r="F45" s="68"/>
      <c r="G45" s="68"/>
      <c r="H45" s="68"/>
      <c r="I45" s="68"/>
      <c r="J45" s="6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36" t="s">
        <v>53</v>
      </c>
      <c r="B46" s="37"/>
      <c r="C46" s="37"/>
      <c r="D46" s="37"/>
      <c r="E46" s="37"/>
      <c r="F46" s="37"/>
      <c r="G46" s="37"/>
      <c r="H46" s="37"/>
      <c r="I46" s="37"/>
      <c r="J46" s="38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46:J4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39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0" t="s">
        <v>39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3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75" t="s">
        <v>11</v>
      </c>
      <c r="B4" s="55" t="s">
        <v>55</v>
      </c>
      <c r="C4" s="55" t="s">
        <v>56</v>
      </c>
      <c r="D4" s="76" t="s">
        <v>57</v>
      </c>
      <c r="E4" s="76" t="s">
        <v>58</v>
      </c>
      <c r="F4" s="76" t="s">
        <v>59</v>
      </c>
      <c r="G4" s="76" t="s">
        <v>60</v>
      </c>
      <c r="H4" s="76" t="s">
        <v>61</v>
      </c>
      <c r="I4" s="76" t="s">
        <v>62</v>
      </c>
      <c r="J4" s="57" t="s">
        <v>63</v>
      </c>
      <c r="K4" s="77" t="s">
        <v>64</v>
      </c>
      <c r="L4" s="77" t="s">
        <v>65</v>
      </c>
      <c r="M4" s="77" t="s">
        <v>66</v>
      </c>
      <c r="N4" s="75" t="s">
        <v>48</v>
      </c>
      <c r="O4" s="49" t="s">
        <v>49</v>
      </c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9">
        <v>1990.0</v>
      </c>
      <c r="B5" s="60">
        <f>IFERROR(__xludf.DUMMYFUNCTION("FILTER('Sources - Averages (Berlin)'!$G$5:$G$156,'Sources - Averages (Berlin)'!$A$5:$A$156=B$4,'Sources - Averages (Berlin)'!$B$5:$B$156=$A5)"),56666.666666666664)</f>
        <v>56666.66667</v>
      </c>
      <c r="C5" s="60">
        <f>IFERROR(__xludf.DUMMYFUNCTION("FILTER('Sources - Averages (Berlin)'!$G$5:$G$156,'Sources - Averages (Berlin)'!$A$5:$A$156=""PDS/Ost"",'Sources - Averages (Berlin)'!$B$5:$B$156=$A5)"),15500.0)</f>
        <v>15500</v>
      </c>
      <c r="D5" s="60">
        <f>IFERROR(__xludf.DUMMYFUNCTION("FILTER('Sources - Averages (Berlin)'!$G$5:$G$156,'Sources - Averages (Berlin)'!$A$5:$A$156=D$4,'Sources - Averages (Berlin)'!$B$5:$B$156=$A5)"),12500.0)</f>
        <v>12500</v>
      </c>
      <c r="E5" s="60"/>
      <c r="F5" s="60"/>
      <c r="G5" s="60"/>
      <c r="H5" s="60"/>
      <c r="I5" s="60"/>
      <c r="J5" s="60"/>
      <c r="K5" s="60"/>
      <c r="L5" s="60"/>
      <c r="M5" s="60"/>
      <c r="N5" s="62">
        <f t="array" ref="N5">SUM(B5:M5)</f>
        <v>84666.66667</v>
      </c>
      <c r="O5" s="63">
        <f t="shared" ref="O5:O34" si="1">N5-B5</f>
        <v>28000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9">
        <v>1991.0</v>
      </c>
      <c r="B6" s="60">
        <f>IFERROR(__xludf.DUMMYFUNCTION("FILTER('Sources - Averages (Berlin)'!$G$5:$G$156,'Sources - Averages (Berlin)'!$A$5:$A$156=B$4,'Sources - Averages (Berlin)'!$B$5:$B$156=A6)"),10000.0)</f>
        <v>10000</v>
      </c>
      <c r="C6" s="60"/>
      <c r="D6" s="60">
        <f>IFERROR(__xludf.DUMMYFUNCTION("FILTER('Sources - Averages (Berlin)'!$G$5:$G$156,'Sources - Averages (Berlin)'!$A$5:$A$156=D$4,'Sources - Averages (Berlin)'!$B$5:$B$156=$A6)"),12666.666666666666)</f>
        <v>12666.66667</v>
      </c>
      <c r="E6" s="60"/>
      <c r="F6" s="60"/>
      <c r="G6" s="60"/>
      <c r="H6" s="60"/>
      <c r="I6" s="60"/>
      <c r="J6" s="60"/>
      <c r="K6" s="60"/>
      <c r="L6" s="60"/>
      <c r="M6" s="60"/>
      <c r="N6" s="62">
        <f t="array" ref="N6">SUM(B6:M6)</f>
        <v>22666.66667</v>
      </c>
      <c r="O6" s="63">
        <f t="shared" si="1"/>
        <v>12666.66667</v>
      </c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9">
        <v>1992.0</v>
      </c>
      <c r="B7" s="60">
        <f>IFERROR(__xludf.DUMMYFUNCTION("FILTER('Sources - Averages (Berlin)'!$G$5:$G$156,'Sources - Averages (Berlin)'!$A$5:$A$156=B$4,'Sources - Averages (Berlin)'!$B$5:$B$156=A7)"),23000.0)</f>
        <v>23000</v>
      </c>
      <c r="C7" s="60">
        <f>IFERROR(__xludf.DUMMYFUNCTION("FILTER('Sources - Averages (Berlin)'!$G$5:$G$156,'Sources - Averages (Berlin)'!$A$5:$A$156=""PDS/Ost"",'Sources - Averages (Berlin)'!$B$5:$B$156=$A7)"),6000.0)</f>
        <v>6000</v>
      </c>
      <c r="D7" s="60">
        <f>IFERROR(__xludf.DUMMYFUNCTION("FILTER('Sources - Averages (Berlin)'!$G$5:$G$156,'Sources - Averages (Berlin)'!$A$5:$A$156=D$4,'Sources - Averages (Berlin)'!$B$5:$B$156=$A7)"),12000.0)</f>
        <v>12000</v>
      </c>
      <c r="E7" s="60"/>
      <c r="F7" s="60"/>
      <c r="G7" s="60"/>
      <c r="H7" s="60"/>
      <c r="I7" s="60">
        <f>IFERROR(__xludf.DUMMYFUNCTION("FILTER('Sources - Averages (Berlin)'!$G$5:$G$156,'Sources - Averages (Berlin)'!$A$5:$A$156=I$4,'Sources - Averages (Berlin)'!$B$5:$B$156=$A7)"),200.0)</f>
        <v>200</v>
      </c>
      <c r="J7" s="60">
        <f>IFERROR(__xludf.DUMMYFUNCTION("FILTER('Sources - Averages (Berlin)'!$G$5:$G$156,'Sources - Averages (Berlin)'!$A$5:$A$156=J$4,'Sources - Averages (Berlin)'!$B$5:$B$156=$A7)"),50.0)</f>
        <v>50</v>
      </c>
      <c r="K7" s="60"/>
      <c r="L7" s="60"/>
      <c r="M7" s="60"/>
      <c r="N7" s="62">
        <f t="array" ref="N7">SUM(B7:M7)</f>
        <v>41250</v>
      </c>
      <c r="O7" s="63">
        <f t="shared" si="1"/>
        <v>18250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59">
        <v>1993.0</v>
      </c>
      <c r="B8" s="60">
        <f>IFERROR(__xludf.DUMMYFUNCTION("FILTER('Sources - Averages (Berlin)'!$G$5:$G$156,'Sources - Averages (Berlin)'!$A$5:$A$156=B$4,'Sources - Averages (Berlin)'!$B$5:$B$156=A8)"),16666.666666666668)</f>
        <v>16666.66667</v>
      </c>
      <c r="C8" s="60">
        <f>IFERROR(__xludf.DUMMYFUNCTION("FILTER('Sources - Averages (Berlin)'!$G$5:$G$156,'Sources - Averages (Berlin)'!$A$5:$A$156=""PDS/Ost"",'Sources - Averages (Berlin)'!$B$5:$B$156=$A8)"),6000.0)</f>
        <v>6000</v>
      </c>
      <c r="D8" s="60">
        <f>IFERROR(__xludf.DUMMYFUNCTION("FILTER('Sources - Averages (Berlin)'!$G$5:$G$156,'Sources - Averages (Berlin)'!$A$5:$A$156=D$4,'Sources - Averages (Berlin)'!$B$5:$B$156=$A8)"),7750.0)</f>
        <v>7750</v>
      </c>
      <c r="E8" s="60"/>
      <c r="F8" s="60"/>
      <c r="G8" s="60"/>
      <c r="H8" s="60"/>
      <c r="I8" s="60"/>
      <c r="J8" s="60">
        <f>IFERROR(__xludf.DUMMYFUNCTION("FILTER('Sources - Averages (Berlin)'!$G$5:$G$156,'Sources - Averages (Berlin)'!$A$5:$A$156=J$4,'Sources - Averages (Berlin)'!$B$5:$B$156=$A8)"),100.0)</f>
        <v>100</v>
      </c>
      <c r="K8" s="60"/>
      <c r="L8" s="60"/>
      <c r="M8" s="60"/>
      <c r="N8" s="62">
        <f t="array" ref="N8">SUM(B8:M8)</f>
        <v>30516.66667</v>
      </c>
      <c r="O8" s="63">
        <f t="shared" si="1"/>
        <v>13850</v>
      </c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59">
        <v>1994.0</v>
      </c>
      <c r="B9" s="60">
        <f>IFERROR(__xludf.DUMMYFUNCTION("FILTER('Sources - Averages (Berlin)'!$G$5:$G$156,'Sources - Averages (Berlin)'!$A$5:$A$156=B$4,'Sources - Averages (Berlin)'!$B$5:$B$156=A9)"),6000.0)</f>
        <v>6000</v>
      </c>
      <c r="C9" s="60">
        <f>IFERROR(__xludf.DUMMYFUNCTION("FILTER('Sources - Averages (Berlin)'!$G$5:$G$156,'Sources - Averages (Berlin)'!$A$5:$A$156=""PDS/Ost"",'Sources - Averages (Berlin)'!$B$5:$B$156=$A9)"),1000.0)</f>
        <v>1000</v>
      </c>
      <c r="D9" s="60">
        <f>IFERROR(__xludf.DUMMYFUNCTION("FILTER('Sources - Averages (Berlin)'!$G$5:$G$156,'Sources - Averages (Berlin)'!$A$5:$A$156=D$4,'Sources - Averages (Berlin)'!$B$5:$B$156=$A9)"),900.0)</f>
        <v>900</v>
      </c>
      <c r="E9" s="60"/>
      <c r="F9" s="60"/>
      <c r="G9" s="60"/>
      <c r="H9" s="60"/>
      <c r="I9" s="60">
        <f>IFERROR(__xludf.DUMMYFUNCTION("FILTER('Sources - Averages (Berlin)'!$G$5:$G$156,'Sources - Averages (Berlin)'!$A$5:$A$156=I$4,'Sources - Averages (Berlin)'!$B$5:$B$156=$A9)"),450.0)</f>
        <v>450</v>
      </c>
      <c r="J9" s="60">
        <f>IFERROR(__xludf.DUMMYFUNCTION("FILTER('Sources - Averages (Berlin)'!$G$5:$G$156,'Sources - Averages (Berlin)'!$A$5:$A$156=J$4,'Sources - Averages (Berlin)'!$B$5:$B$156=$A9)"),5.0)</f>
        <v>5</v>
      </c>
      <c r="K9" s="60"/>
      <c r="L9" s="60"/>
      <c r="M9" s="60"/>
      <c r="N9" s="62">
        <f t="array" ref="N9">SUM(B9:M9)</f>
        <v>8355</v>
      </c>
      <c r="O9" s="63">
        <f t="shared" si="1"/>
        <v>2355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59">
        <v>1995.0</v>
      </c>
      <c r="B10" s="60">
        <f>IFERROR(__xludf.DUMMYFUNCTION("FILTER('Sources - Averages (Berlin)'!$G$5:$G$156,'Sources - Averages (Berlin)'!$A$5:$A$156=B$4,'Sources - Averages (Berlin)'!$B$5:$B$156=A10)"),7400.0)</f>
        <v>7400</v>
      </c>
      <c r="C10" s="60"/>
      <c r="D10" s="60">
        <f>IFERROR(__xludf.DUMMYFUNCTION("FILTER('Sources - Averages (Berlin)'!$G$5:$G$156,'Sources - Averages (Berlin)'!$A$5:$A$156=D$4,'Sources - Averages (Berlin)'!$B$5:$B$156=$A10)"),2250.0)</f>
        <v>2250</v>
      </c>
      <c r="E10" s="60"/>
      <c r="F10" s="60"/>
      <c r="G10" s="60">
        <f>IFERROR(__xludf.DUMMYFUNCTION("FILTER('Sources - Averages (Berlin)'!$G$5:$G$156,'Sources - Averages (Berlin)'!$A$5:$A$156=""PDS/Ost"",'Sources - Averages (Berlin)'!$B$5:$B$156=$A10)"),1600.0)</f>
        <v>1600</v>
      </c>
      <c r="H10" s="60"/>
      <c r="I10" s="60"/>
      <c r="J10" s="60"/>
      <c r="K10" s="60"/>
      <c r="L10" s="60"/>
      <c r="M10" s="60"/>
      <c r="N10" s="62">
        <f t="array" ref="N10">SUM(B10:M10)</f>
        <v>11250</v>
      </c>
      <c r="O10" s="63">
        <f t="shared" si="1"/>
        <v>3850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59">
        <v>1996.0</v>
      </c>
      <c r="B11" s="60">
        <f>IFERROR(__xludf.DUMMYFUNCTION("FILTER('Sources - Averages (Berlin)'!$G$5:$G$156,'Sources - Averages (Berlin)'!$A$5:$A$156=B$4,'Sources - Averages (Berlin)'!$B$5:$B$156=A11)"),16666.666666666668)</f>
        <v>16666.66667</v>
      </c>
      <c r="C11" s="60"/>
      <c r="D11" s="60"/>
      <c r="E11" s="60">
        <f>IFERROR(__xludf.DUMMYFUNCTION("FILTER('Sources - Averages (Berlin)'!$G$5:$G$156,'Sources - Averages (Berlin)'!$A$5:$A$156=E$4,'Sources - Averages (Berlin)'!$B$5:$B$156=$A11)"),10000.0)</f>
        <v>10000</v>
      </c>
      <c r="F11" s="60">
        <f>IFERROR(__xludf.DUMMYFUNCTION("FILTER('Sources - Averages (Berlin)'!$G$5:$G$156,'Sources - Averages (Berlin)'!$A$5:$A$156=F$4,'Sources - Averages (Berlin)'!$B$5:$B$156=$A11)"),3000.0)</f>
        <v>3000</v>
      </c>
      <c r="G11" s="60">
        <f>IFERROR(__xludf.DUMMYFUNCTION("FILTER('Sources - Averages (Berlin)'!$G$5:$G$156,'Sources - Averages (Berlin)'!$A$5:$A$156=""PDS/Ost"",'Sources - Averages (Berlin)'!$B$5:$B$156=$A11)"),2200.0)</f>
        <v>2200</v>
      </c>
      <c r="H11" s="60"/>
      <c r="I11" s="60">
        <f>IFERROR(__xludf.DUMMYFUNCTION("FILTER('Sources - Averages (Berlin)'!$G$5:$G$156,'Sources - Averages (Berlin)'!$A$5:$A$156=I$4,'Sources - Averages (Berlin)'!$B$5:$B$156=$A11)"),40.0)</f>
        <v>40</v>
      </c>
      <c r="J11" s="60">
        <f>IFERROR(__xludf.DUMMYFUNCTION("FILTER('Sources - Averages (Berlin)'!$G$5:$G$156,'Sources - Averages (Berlin)'!$A$5:$A$156=J$4,'Sources - Averages (Berlin)'!$B$5:$B$156=$A11)"),350.0)</f>
        <v>350</v>
      </c>
      <c r="K11" s="60"/>
      <c r="L11" s="60"/>
      <c r="M11" s="60"/>
      <c r="N11" s="62">
        <f t="array" ref="N11">SUM(B11:M11)</f>
        <v>32256.66667</v>
      </c>
      <c r="O11" s="63">
        <f t="shared" si="1"/>
        <v>15590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59">
        <v>1997.0</v>
      </c>
      <c r="B12" s="60">
        <f>IFERROR(__xludf.DUMMYFUNCTION("FILTER('Sources - Averages (Berlin)'!$G$5:$G$156,'Sources - Averages (Berlin)'!$A$5:$A$156=B$4,'Sources - Averages (Berlin)'!$B$5:$B$156=A12)"),9500.0)</f>
        <v>9500</v>
      </c>
      <c r="C12" s="60"/>
      <c r="D12" s="60"/>
      <c r="E12" s="60">
        <f>IFERROR(__xludf.DUMMYFUNCTION("FILTER('Sources - Averages (Berlin)'!$G$5:$G$156,'Sources - Averages (Berlin)'!$A$5:$A$156=E$4,'Sources - Averages (Berlin)'!$B$5:$B$156=$A12)"),9000.0)</f>
        <v>9000</v>
      </c>
      <c r="F12" s="60">
        <f>IFERROR(__xludf.DUMMYFUNCTION("FILTER('Sources - Averages (Berlin)'!$G$5:$G$156,'Sources - Averages (Berlin)'!$A$5:$A$156=F$4,'Sources - Averages (Berlin)'!$B$5:$B$156=$A12)"),2000.0)</f>
        <v>2000</v>
      </c>
      <c r="G12" s="60">
        <f>IFERROR(__xludf.DUMMYFUNCTION("FILTER('Sources - Averages (Berlin)'!$G$5:$G$156,'Sources - Averages (Berlin)'!$A$5:$A$156=""PDS/Ost"",'Sources - Averages (Berlin)'!$B$5:$B$156=$A12)"),7333.333333333333)</f>
        <v>7333.333333</v>
      </c>
      <c r="H12" s="60"/>
      <c r="I12" s="60"/>
      <c r="J12" s="60"/>
      <c r="K12" s="60"/>
      <c r="L12" s="60"/>
      <c r="M12" s="60"/>
      <c r="N12" s="62">
        <f t="array" ref="N12">SUM(B12:M12)</f>
        <v>27833.33333</v>
      </c>
      <c r="O12" s="63">
        <f t="shared" si="1"/>
        <v>18333.33333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59">
        <v>1998.0</v>
      </c>
      <c r="B13" s="60">
        <f>IFERROR(__xludf.DUMMYFUNCTION("FILTER('Sources - Averages (Berlin)'!$G$5:$G$156,'Sources - Averages (Berlin)'!$A$5:$A$156=B$4,'Sources - Averages (Berlin)'!$B$5:$B$156=A13)"),13875.0)</f>
        <v>13875</v>
      </c>
      <c r="C13" s="60"/>
      <c r="D13" s="60"/>
      <c r="E13" s="60">
        <f>IFERROR(__xludf.DUMMYFUNCTION("FILTER('Sources - Averages (Berlin)'!$G$5:$G$156,'Sources - Averages (Berlin)'!$A$5:$A$156=E$4,'Sources - Averages (Berlin)'!$B$5:$B$156=$A13)"),6666.666666666667)</f>
        <v>6666.666667</v>
      </c>
      <c r="F13" s="60">
        <f>IFERROR(__xludf.DUMMYFUNCTION("FILTER('Sources - Averages (Berlin)'!$G$5:$G$156,'Sources - Averages (Berlin)'!$A$5:$A$156=F$4,'Sources - Averages (Berlin)'!$B$5:$B$156=$A13)"),1750.0)</f>
        <v>1750</v>
      </c>
      <c r="G13" s="60">
        <f>IFERROR(__xludf.DUMMYFUNCTION("FILTER('Sources - Averages (Berlin)'!$G$5:$G$156,'Sources - Averages (Berlin)'!$A$5:$A$156=""PDS/Ost"",'Sources - Averages (Berlin)'!$B$5:$B$156=$A13)"),6500.0)</f>
        <v>6500</v>
      </c>
      <c r="H13" s="60"/>
      <c r="I13" s="60"/>
      <c r="J13" s="60"/>
      <c r="K13" s="60"/>
      <c r="L13" s="60">
        <f>IFERROR(__xludf.DUMMYFUNCTION("FILTER('Sources - Averages (Berlin)'!$G$5:$G$156,'Sources - Averages (Berlin)'!$A$5:$A$156=L$4,'Sources - Averages (Berlin)'!$B$5:$B$156=$A13)"),1500.0)</f>
        <v>1500</v>
      </c>
      <c r="M13" s="60"/>
      <c r="N13" s="62">
        <f t="array" ref="N13">SUM(B13:M13)</f>
        <v>30291.66667</v>
      </c>
      <c r="O13" s="63">
        <f t="shared" si="1"/>
        <v>16416.66667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59">
        <v>1999.0</v>
      </c>
      <c r="B14" s="60">
        <f>IFERROR(__xludf.DUMMYFUNCTION("FILTER('Sources - Averages (Berlin)'!$G$5:$G$156,'Sources - Averages (Berlin)'!$A$5:$A$156=B$4,'Sources - Averages (Berlin)'!$B$5:$B$156=A14)"),10400.0)</f>
        <v>10400</v>
      </c>
      <c r="C14" s="60"/>
      <c r="D14" s="60"/>
      <c r="E14" s="60">
        <f>IFERROR(__xludf.DUMMYFUNCTION("FILTER('Sources - Averages (Berlin)'!$G$5:$G$156,'Sources - Averages (Berlin)'!$A$5:$A$156=E$4,'Sources - Averages (Berlin)'!$B$5:$B$156=$A14)"),14000.0)</f>
        <v>14000</v>
      </c>
      <c r="F14" s="60">
        <f>IFERROR(__xludf.DUMMYFUNCTION("FILTER('Sources - Averages (Berlin)'!$G$5:$G$156,'Sources - Averages (Berlin)'!$A$5:$A$156=F$4,'Sources - Averages (Berlin)'!$B$5:$B$156=$A14)"),1500.0)</f>
        <v>1500</v>
      </c>
      <c r="G14" s="60">
        <f>IFERROR(__xludf.DUMMYFUNCTION("FILTER('Sources - Averages (Berlin)'!$G$5:$G$156,'Sources - Averages (Berlin)'!$A$5:$A$156=""PDS/Ost"",'Sources - Averages (Berlin)'!$B$5:$B$156=$A14)"),10000.0)</f>
        <v>10000</v>
      </c>
      <c r="H14" s="60"/>
      <c r="I14" s="60"/>
      <c r="J14" s="60"/>
      <c r="K14" s="60"/>
      <c r="L14" s="60"/>
      <c r="M14" s="60"/>
      <c r="N14" s="62">
        <f t="array" ref="N14">SUM(B14:M14)</f>
        <v>35900</v>
      </c>
      <c r="O14" s="63">
        <f t="shared" si="1"/>
        <v>25500</v>
      </c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59">
        <v>2000.0</v>
      </c>
      <c r="B15" s="60">
        <f>IFERROR(__xludf.DUMMYFUNCTION("FILTER('Sources - Averages (Berlin)'!$G$5:$G$156,'Sources - Averages (Berlin)'!$A$5:$A$156=B$4,'Sources - Averages (Berlin)'!$B$5:$B$156=A15)"),11166.666666666666)</f>
        <v>11166.66667</v>
      </c>
      <c r="C15" s="60"/>
      <c r="D15" s="60"/>
      <c r="E15" s="60">
        <f>IFERROR(__xludf.DUMMYFUNCTION("FILTER('Sources - Averages (Berlin)'!$G$5:$G$156,'Sources - Averages (Berlin)'!$A$5:$A$156=E$4,'Sources - Averages (Berlin)'!$B$5:$B$156=$A15)"),13333.333333333334)</f>
        <v>13333.33333</v>
      </c>
      <c r="F15" s="60">
        <f>IFERROR(__xludf.DUMMYFUNCTION("FILTER('Sources - Averages (Berlin)'!$G$5:$G$156,'Sources - Averages (Berlin)'!$A$5:$A$156=F$4,'Sources - Averages (Berlin)'!$B$5:$B$156=$A15)"),1266.6666666666667)</f>
        <v>1266.666667</v>
      </c>
      <c r="G15" s="60">
        <f>IFERROR(__xludf.DUMMYFUNCTION("FILTER('Sources - Averages (Berlin)'!$G$5:$G$156,'Sources - Averages (Berlin)'!$A$5:$A$156=""PDS/Ost"",'Sources - Averages (Berlin)'!$B$5:$B$156=$A15)"),3666.6666666666665)</f>
        <v>3666.666667</v>
      </c>
      <c r="H15" s="60"/>
      <c r="I15" s="60">
        <f>IFERROR(__xludf.DUMMYFUNCTION("FILTER('Sources - Averages (Berlin)'!$G$5:$G$156,'Sources - Averages (Berlin)'!$A$5:$A$156=I$4,'Sources - Averages (Berlin)'!$B$5:$B$156=$A15)"),10000.0)</f>
        <v>10000</v>
      </c>
      <c r="J15" s="60">
        <f>IFERROR(__xludf.DUMMYFUNCTION("FILTER('Sources - Averages (Berlin)'!$G$5:$G$156,'Sources - Averages (Berlin)'!$A$5:$A$156=J$4,'Sources - Averages (Berlin)'!$B$5:$B$156=$A15)"),1000.0)</f>
        <v>1000</v>
      </c>
      <c r="K15" s="60"/>
      <c r="L15" s="60">
        <f>IFERROR(__xludf.DUMMYFUNCTION("FILTER('Sources - Averages (Berlin)'!$G$5:$G$156,'Sources - Averages (Berlin)'!$A$5:$A$156=L$4,'Sources - Averages (Berlin)'!$B$5:$B$156=$A15)"),5000.0)</f>
        <v>5000</v>
      </c>
      <c r="M15" s="60"/>
      <c r="N15" s="62">
        <f t="array" ref="N15">SUM(B15:M15)</f>
        <v>45433.33333</v>
      </c>
      <c r="O15" s="63">
        <f t="shared" si="1"/>
        <v>34266.66667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59">
        <v>2001.0</v>
      </c>
      <c r="B16" s="60">
        <f>IFERROR(__xludf.DUMMYFUNCTION("FILTER('Sources - Averages (Berlin)'!$G$5:$G$156,'Sources - Averages (Berlin)'!$A$5:$A$156=B$4,'Sources - Averages (Berlin)'!$B$5:$B$156=A16)"),16833.333333333332)</f>
        <v>16833.33333</v>
      </c>
      <c r="C16" s="60"/>
      <c r="D16" s="60"/>
      <c r="E16" s="60">
        <f>IFERROR(__xludf.DUMMYFUNCTION("FILTER('Sources - Averages (Berlin)'!$G$5:$G$156,'Sources - Averages (Berlin)'!$A$5:$A$156=E$4,'Sources - Averages (Berlin)'!$B$5:$B$156=$A16)"),5500.0)</f>
        <v>5500</v>
      </c>
      <c r="F16" s="60">
        <f>IFERROR(__xludf.DUMMYFUNCTION("FILTER('Sources - Averages (Berlin)'!$G$5:$G$156,'Sources - Averages (Berlin)'!$A$5:$A$156=F$4,'Sources - Averages (Berlin)'!$B$5:$B$156=$A16)"),2250.0)</f>
        <v>2250</v>
      </c>
      <c r="G16" s="60">
        <f>IFERROR(__xludf.DUMMYFUNCTION("FILTER('Sources - Averages (Berlin)'!$G$5:$G$156,'Sources - Averages (Berlin)'!$A$5:$A$156=""PDS/Ost"",'Sources - Averages (Berlin)'!$B$5:$B$156=$A16)"),7250.0)</f>
        <v>7250</v>
      </c>
      <c r="H16" s="60"/>
      <c r="I16" s="60">
        <f>IFERROR(__xludf.DUMMYFUNCTION("FILTER('Sources - Averages (Berlin)'!$G$5:$G$156,'Sources - Averages (Berlin)'!$A$5:$A$156=I$4,'Sources - Averages (Berlin)'!$B$5:$B$156=$A16)"),475.0)</f>
        <v>475</v>
      </c>
      <c r="J16" s="60">
        <f>IFERROR(__xludf.DUMMYFUNCTION("FILTER('Sources - Averages (Berlin)'!$G$5:$G$156,'Sources - Averages (Berlin)'!$A$5:$A$156=J$4,'Sources - Averages (Berlin)'!$B$5:$B$156=$A16)"),100.0)</f>
        <v>100</v>
      </c>
      <c r="K16" s="60"/>
      <c r="L16" s="60">
        <f>IFERROR(__xludf.DUMMYFUNCTION("FILTER('Sources - Averages (Berlin)'!$G$5:$G$156,'Sources - Averages (Berlin)'!$A$5:$A$156=L$4,'Sources - Averages (Berlin)'!$B$5:$B$156=$A16)"),5000.0)</f>
        <v>5000</v>
      </c>
      <c r="M16" s="60"/>
      <c r="N16" s="62">
        <f t="array" ref="N16">SUM(B16:M16)</f>
        <v>37408.33333</v>
      </c>
      <c r="O16" s="63">
        <f t="shared" si="1"/>
        <v>20575</v>
      </c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59">
        <v>2002.0</v>
      </c>
      <c r="B17" s="60">
        <f>IFERROR(__xludf.DUMMYFUNCTION("FILTER('Sources - Averages (Berlin)'!$G$5:$G$156,'Sources - Averages (Berlin)'!$A$5:$A$156=B$4,'Sources - Averages (Berlin)'!$B$5:$B$156=A17)"),13500.0)</f>
        <v>13500</v>
      </c>
      <c r="C17" s="60"/>
      <c r="D17" s="60"/>
      <c r="E17" s="60">
        <f>IFERROR(__xludf.DUMMYFUNCTION("FILTER('Sources - Averages (Berlin)'!$G$5:$G$156,'Sources - Averages (Berlin)'!$A$5:$A$156=E$4,'Sources - Averages (Berlin)'!$B$5:$B$156=$A17)"),9500.0)</f>
        <v>9500</v>
      </c>
      <c r="F17" s="60">
        <f>IFERROR(__xludf.DUMMYFUNCTION("FILTER('Sources - Averages (Berlin)'!$G$5:$G$156,'Sources - Averages (Berlin)'!$A$5:$A$156=F$4,'Sources - Averages (Berlin)'!$B$5:$B$156=$A17)"),4000.0)</f>
        <v>4000</v>
      </c>
      <c r="G17" s="60">
        <f>IFERROR(__xludf.DUMMYFUNCTION("FILTER('Sources - Averages (Berlin)'!$G$5:$G$156,'Sources - Averages (Berlin)'!$A$5:$A$156=""PDS/Ost"",'Sources - Averages (Berlin)'!$B$5:$B$156=$A17)"),2250.0)</f>
        <v>2250</v>
      </c>
      <c r="H17" s="60"/>
      <c r="I17" s="60">
        <f>IFERROR(__xludf.DUMMYFUNCTION("FILTER('Sources - Averages (Berlin)'!$G$5:$G$156,'Sources - Averages (Berlin)'!$A$5:$A$156=I$4,'Sources - Averages (Berlin)'!$B$5:$B$156=$A17)"),1000.0)</f>
        <v>1000</v>
      </c>
      <c r="J17" s="60">
        <f>IFERROR(__xludf.DUMMYFUNCTION("FILTER('Sources - Averages (Berlin)'!$G$5:$G$156,'Sources - Averages (Berlin)'!$A$5:$A$156=J$4,'Sources - Averages (Berlin)'!$B$5:$B$156=$A17)"),700.0)</f>
        <v>700</v>
      </c>
      <c r="K17" s="60"/>
      <c r="L17" s="60"/>
      <c r="M17" s="60"/>
      <c r="N17" s="62">
        <f t="array" ref="N17">SUM(B17:M17)</f>
        <v>30950</v>
      </c>
      <c r="O17" s="63">
        <f t="shared" si="1"/>
        <v>17450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59">
        <v>2003.0</v>
      </c>
      <c r="B18" s="60">
        <f>IFERROR(__xludf.DUMMYFUNCTION("FILTER('Sources - Averages (Berlin)'!$G$5:$G$156,'Sources - Averages (Berlin)'!$A$5:$A$156=B$4,'Sources - Averages (Berlin)'!$B$5:$B$156=A18)"),13500.0)</f>
        <v>13500</v>
      </c>
      <c r="C18" s="60"/>
      <c r="D18" s="60"/>
      <c r="E18" s="60">
        <f>IFERROR(__xludf.DUMMYFUNCTION("FILTER('Sources - Averages (Berlin)'!$G$5:$G$156,'Sources - Averages (Berlin)'!$A$5:$A$156=E$4,'Sources - Averages (Berlin)'!$B$5:$B$156=$A18)"),3500.0)</f>
        <v>3500</v>
      </c>
      <c r="F18" s="60">
        <f>IFERROR(__xludf.DUMMYFUNCTION("FILTER('Sources - Averages (Berlin)'!$G$5:$G$156,'Sources - Averages (Berlin)'!$A$5:$A$156=F$4,'Sources - Averages (Berlin)'!$B$5:$B$156=$A18)"),6750.0)</f>
        <v>6750</v>
      </c>
      <c r="G18" s="60"/>
      <c r="H18" s="60"/>
      <c r="I18" s="60">
        <f>IFERROR(__xludf.DUMMYFUNCTION("FILTER('Sources - Averages (Berlin)'!$G$5:$G$156,'Sources - Averages (Berlin)'!$A$5:$A$156=I$4,'Sources - Averages (Berlin)'!$B$5:$B$156=$A18)"),250.0)</f>
        <v>250</v>
      </c>
      <c r="J18" s="60">
        <f>IFERROR(__xludf.DUMMYFUNCTION("FILTER('Sources - Averages (Berlin)'!$G$5:$G$156,'Sources - Averages (Berlin)'!$A$5:$A$156=J$4,'Sources - Averages (Berlin)'!$B$5:$B$156=$A18)"),1675.0)</f>
        <v>1675</v>
      </c>
      <c r="K18" s="60">
        <f>IFERROR(__xludf.DUMMYFUNCTION("FILTER('Sources - Averages (Berlin)'!$G$5:$G$156,'Sources - Averages (Berlin)'!$A$5:$A$156=K$4,'Sources - Averages (Berlin)'!$B$5:$B$156=$A18)"),20000.0)</f>
        <v>20000</v>
      </c>
      <c r="L18" s="60">
        <f>IFERROR(__xludf.DUMMYFUNCTION("FILTER('Sources - Averages (Berlin)'!$G$5:$G$156,'Sources - Averages (Berlin)'!$A$5:$A$156=L$4,'Sources - Averages (Berlin)'!$B$5:$B$156=$A18)"),20000.0)</f>
        <v>20000</v>
      </c>
      <c r="M18" s="60"/>
      <c r="N18" s="62">
        <f t="array" ref="N18">SUM(B18:M18)</f>
        <v>65675</v>
      </c>
      <c r="O18" s="63">
        <f t="shared" si="1"/>
        <v>52175</v>
      </c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59">
        <v>2004.0</v>
      </c>
      <c r="B19" s="60">
        <f>IFERROR(__xludf.DUMMYFUNCTION("FILTER('Sources - Averages (Berlin)'!$G$5:$G$156,'Sources - Averages (Berlin)'!$A$5:$A$156=B$4,'Sources - Averages (Berlin)'!$B$5:$B$156=A19)"),18500.0)</f>
        <v>18500</v>
      </c>
      <c r="C19" s="60"/>
      <c r="D19" s="60"/>
      <c r="E19" s="60">
        <f>IFERROR(__xludf.DUMMYFUNCTION("FILTER('Sources - Averages (Berlin)'!$G$5:$G$156,'Sources - Averages (Berlin)'!$A$5:$A$156=E$4,'Sources - Averages (Berlin)'!$B$5:$B$156=$A19)"),3500.0)</f>
        <v>3500</v>
      </c>
      <c r="F19" s="60">
        <f>IFERROR(__xludf.DUMMYFUNCTION("FILTER('Sources - Averages (Berlin)'!$G$5:$G$156,'Sources - Averages (Berlin)'!$A$5:$A$156=F$4,'Sources - Averages (Berlin)'!$B$5:$B$156=$A19)"),5000.0)</f>
        <v>5000</v>
      </c>
      <c r="G19" s="60"/>
      <c r="H19" s="60"/>
      <c r="I19" s="60">
        <f>IFERROR(__xludf.DUMMYFUNCTION("FILTER('Sources - Averages (Berlin)'!$G$5:$G$156,'Sources - Averages (Berlin)'!$A$5:$A$156=I$4,'Sources - Averages (Berlin)'!$B$5:$B$156=$A19)"),3400.0)</f>
        <v>3400</v>
      </c>
      <c r="J19" s="60">
        <f>IFERROR(__xludf.DUMMYFUNCTION("FILTER('Sources - Averages (Berlin)'!$G$5:$G$156,'Sources - Averages (Berlin)'!$A$5:$A$156=J$4,'Sources - Averages (Berlin)'!$B$5:$B$156=$A19)"),2300.0)</f>
        <v>2300</v>
      </c>
      <c r="K19" s="60">
        <f>IFERROR(__xludf.DUMMYFUNCTION("FILTER('Sources - Averages (Berlin)'!$G$5:$G$156,'Sources - Averages (Berlin)'!$A$5:$A$156=K$4,'Sources - Averages (Berlin)'!$B$5:$B$156=$A19)"),30000.0)</f>
        <v>30000</v>
      </c>
      <c r="L19" s="60"/>
      <c r="M19" s="60"/>
      <c r="N19" s="62">
        <f t="array" ref="N19">SUM(B19:M19)</f>
        <v>62700</v>
      </c>
      <c r="O19" s="63">
        <f t="shared" si="1"/>
        <v>44200</v>
      </c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59">
        <v>2005.0</v>
      </c>
      <c r="B20" s="60">
        <f>IFERROR(__xludf.DUMMYFUNCTION("FILTER('Sources - Averages (Berlin)'!$G$5:$G$156,'Sources - Averages (Berlin)'!$A$5:$A$156=B$4,'Sources - Averages (Berlin)'!$B$5:$B$156=A20)"),10500.0)</f>
        <v>10500</v>
      </c>
      <c r="C20" s="60"/>
      <c r="D20" s="60"/>
      <c r="E20" s="60">
        <f>IFERROR(__xludf.DUMMYFUNCTION("FILTER('Sources - Averages (Berlin)'!$G$5:$G$156,'Sources - Averages (Berlin)'!$A$5:$A$156=E$4,'Sources - Averages (Berlin)'!$B$5:$B$156=$A20)"),0.0)</f>
        <v>0</v>
      </c>
      <c r="F20" s="60">
        <f>IFERROR(__xludf.DUMMYFUNCTION("FILTER('Sources - Averages (Berlin)'!$G$5:$G$156,'Sources - Averages (Berlin)'!$A$5:$A$156=F$4,'Sources - Averages (Berlin)'!$B$5:$B$156=$A20)"),500.0)</f>
        <v>500</v>
      </c>
      <c r="G20" s="60"/>
      <c r="H20" s="60"/>
      <c r="I20" s="60"/>
      <c r="J20" s="60"/>
      <c r="K20" s="60">
        <f>IFERROR(__xludf.DUMMYFUNCTION("FILTER('Sources - Averages (Berlin)'!$G$5:$G$156,'Sources - Averages (Berlin)'!$A$5:$A$156=K$4,'Sources - Averages (Berlin)'!$B$5:$B$156=$A20)"),15000.0)</f>
        <v>15000</v>
      </c>
      <c r="L20" s="60"/>
      <c r="M20" s="60"/>
      <c r="N20" s="62">
        <f t="array" ref="N20">SUM(B20:M20)</f>
        <v>26000</v>
      </c>
      <c r="O20" s="63">
        <f t="shared" si="1"/>
        <v>15500</v>
      </c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59">
        <v>2006.0</v>
      </c>
      <c r="B21" s="60">
        <f>IFERROR(__xludf.DUMMYFUNCTION("FILTER('Sources - Averages (Berlin)'!$G$5:$G$156,'Sources - Averages (Berlin)'!$A$5:$A$156=B$4,'Sources - Averages (Berlin)'!$B$5:$B$156=A21)"),13500.0)</f>
        <v>13500</v>
      </c>
      <c r="C21" s="60"/>
      <c r="D21" s="60"/>
      <c r="E21" s="60">
        <f>IFERROR(__xludf.DUMMYFUNCTION("FILTER('Sources - Averages (Berlin)'!$G$5:$G$156,'Sources - Averages (Berlin)'!$A$5:$A$156=E$4,'Sources - Averages (Berlin)'!$B$5:$B$156=$A21)"),0.0)</f>
        <v>0</v>
      </c>
      <c r="F21" s="60">
        <f>IFERROR(__xludf.DUMMYFUNCTION("FILTER('Sources - Averages (Berlin)'!$G$5:$G$156,'Sources - Averages (Berlin)'!$A$5:$A$156=F$4,'Sources - Averages (Berlin)'!$B$5:$B$156=$A21)"),50.0)</f>
        <v>50</v>
      </c>
      <c r="G21" s="60"/>
      <c r="H21" s="60">
        <f>IFERROR(__xludf.DUMMYFUNCTION("FILTER('Sources - Averages (Berlin)'!$G$5:$G$156,'Sources - Averages (Berlin)'!$A$5:$A$156=H$4,'Sources - Averages (Berlin)'!$B$5:$B$156=$A21)"),4000.0)</f>
        <v>4000</v>
      </c>
      <c r="I21" s="60"/>
      <c r="J21" s="60"/>
      <c r="K21" s="60">
        <f>IFERROR(__xludf.DUMMYFUNCTION("FILTER('Sources - Averages (Berlin)'!$G$5:$G$156,'Sources - Averages (Berlin)'!$A$5:$A$156=K$4,'Sources - Averages (Berlin)'!$B$5:$B$156=$A21)"),11000.0)</f>
        <v>11000</v>
      </c>
      <c r="L21" s="60"/>
      <c r="M21" s="60"/>
      <c r="N21" s="62">
        <f t="array" ref="N21">SUM(B21:M21)</f>
        <v>28550</v>
      </c>
      <c r="O21" s="63">
        <f t="shared" si="1"/>
        <v>15050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59">
        <v>2007.0</v>
      </c>
      <c r="B22" s="60">
        <f>IFERROR(__xludf.DUMMYFUNCTION("FILTER('Sources - Averages (Berlin)'!$G$5:$G$156,'Sources - Averages (Berlin)'!$A$5:$A$156=B$4,'Sources - Averages (Berlin)'!$B$5:$B$156=A22)"),10500.0)</f>
        <v>10500</v>
      </c>
      <c r="C22" s="60"/>
      <c r="D22" s="60"/>
      <c r="E22" s="60">
        <f>IFERROR(__xludf.DUMMYFUNCTION("FILTER('Sources - Averages (Berlin)'!$G$5:$G$156,'Sources - Averages (Berlin)'!$A$5:$A$156=E$4,'Sources - Averages (Berlin)'!$B$5:$B$156=$A22)"),7666.666666666667)</f>
        <v>7666.666667</v>
      </c>
      <c r="F22" s="60">
        <f>IFERROR(__xludf.DUMMYFUNCTION("FILTER('Sources - Averages (Berlin)'!$G$5:$G$156,'Sources - Averages (Berlin)'!$A$5:$A$156=F$4,'Sources - Averages (Berlin)'!$B$5:$B$156=$A22)"),900.0)</f>
        <v>900</v>
      </c>
      <c r="G22" s="60"/>
      <c r="H22" s="60">
        <f>IFERROR(__xludf.DUMMYFUNCTION("FILTER('Sources - Averages (Berlin)'!$G$5:$G$156,'Sources - Averages (Berlin)'!$A$5:$A$156=H$4,'Sources - Averages (Berlin)'!$B$5:$B$156=$A22)"),7000.0)</f>
        <v>7000</v>
      </c>
      <c r="I22" s="60"/>
      <c r="J22" s="60"/>
      <c r="K22" s="60">
        <f>IFERROR(__xludf.DUMMYFUNCTION("FILTER('Sources - Averages (Berlin)'!$G$5:$G$156,'Sources - Averages (Berlin)'!$A$5:$A$156=K$4,'Sources - Averages (Berlin)'!$B$5:$B$156=$A22)"),42000.0)</f>
        <v>42000</v>
      </c>
      <c r="L22" s="60"/>
      <c r="M22" s="60"/>
      <c r="N22" s="62">
        <f t="array" ref="N22">SUM(B22:M22)</f>
        <v>68066.66667</v>
      </c>
      <c r="O22" s="63">
        <f t="shared" si="1"/>
        <v>57566.66667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59">
        <v>2008.0</v>
      </c>
      <c r="B23" s="60">
        <f>IFERROR(__xludf.DUMMYFUNCTION("FILTER('Sources - Averages (Berlin)'!$G$5:$G$156,'Sources - Averages (Berlin)'!$A$5:$A$156=B$4,'Sources - Averages (Berlin)'!$B$5:$B$156=A23)"),9125.0)</f>
        <v>9125</v>
      </c>
      <c r="C23" s="60"/>
      <c r="D23" s="60"/>
      <c r="E23" s="60">
        <f>IFERROR(__xludf.DUMMYFUNCTION("FILTER('Sources - Averages (Berlin)'!$G$5:$G$156,'Sources - Averages (Berlin)'!$A$5:$A$156=E$4,'Sources - Averages (Berlin)'!$B$5:$B$156=$A23)"),11000.0)</f>
        <v>11000</v>
      </c>
      <c r="F23" s="60">
        <f>IFERROR(__xludf.DUMMYFUNCTION("FILTER('Sources - Averages (Berlin)'!$G$5:$G$156,'Sources - Averages (Berlin)'!$A$5:$A$156=F$4,'Sources - Averages (Berlin)'!$B$5:$B$156=$A23)"),300.0)</f>
        <v>300</v>
      </c>
      <c r="G23" s="60"/>
      <c r="H23" s="60">
        <f>IFERROR(__xludf.DUMMYFUNCTION("FILTER('Sources - Averages (Berlin)'!$G$5:$G$156,'Sources - Averages (Berlin)'!$A$5:$A$156=H$4,'Sources - Averages (Berlin)'!$B$5:$B$156=$A23)"),6500.0)</f>
        <v>6500</v>
      </c>
      <c r="I23" s="60"/>
      <c r="J23" s="60"/>
      <c r="K23" s="60">
        <f>IFERROR(__xludf.DUMMYFUNCTION("FILTER('Sources - Averages (Berlin)'!$G$5:$G$156,'Sources - Averages (Berlin)'!$A$5:$A$156=K$4,'Sources - Averages (Berlin)'!$B$5:$B$156=$A23)"),20000.0)</f>
        <v>20000</v>
      </c>
      <c r="L23" s="60"/>
      <c r="M23" s="60"/>
      <c r="N23" s="62">
        <f t="array" ref="N23">SUM(B23:M23)</f>
        <v>46925</v>
      </c>
      <c r="O23" s="63">
        <f t="shared" si="1"/>
        <v>37800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59">
        <v>2009.0</v>
      </c>
      <c r="B24" s="60">
        <f>IFERROR(__xludf.DUMMYFUNCTION("FILTER('Sources - Averages (Berlin)'!$G$5:$G$156,'Sources - Averages (Berlin)'!$A$5:$A$156=B$4,'Sources - Averages (Berlin)'!$B$5:$B$156=A24)"),13500.0)</f>
        <v>13500</v>
      </c>
      <c r="C24" s="60"/>
      <c r="D24" s="60"/>
      <c r="E24" s="60">
        <f>IFERROR(__xludf.DUMMYFUNCTION("FILTER('Sources - Averages (Berlin)'!$G$5:$G$156,'Sources - Averages (Berlin)'!$A$5:$A$156=E$4,'Sources - Averages (Berlin)'!$B$5:$B$156=$A24)"),8500.0)</f>
        <v>8500</v>
      </c>
      <c r="F24" s="60">
        <f>IFERROR(__xludf.DUMMYFUNCTION("FILTER('Sources - Averages (Berlin)'!$G$5:$G$156,'Sources - Averages (Berlin)'!$A$5:$A$156=F$4,'Sources - Averages (Berlin)'!$B$5:$B$156=$A24)"),300.0)</f>
        <v>300</v>
      </c>
      <c r="G24" s="60"/>
      <c r="H24" s="60">
        <f>IFERROR(__xludf.DUMMYFUNCTION("FILTER('Sources - Averages (Berlin)'!$G$5:$G$156,'Sources - Averages (Berlin)'!$A$5:$A$156=H$4,'Sources - Averages (Berlin)'!$B$5:$B$156=$A24)"),3500.0)</f>
        <v>3500</v>
      </c>
      <c r="I24" s="60">
        <f>IFERROR(__xludf.DUMMYFUNCTION("FILTER('Sources - Averages (Berlin)'!$G$5:$G$156,'Sources - Averages (Berlin)'!$A$5:$A$156=I$4,'Sources - Averages (Berlin)'!$B$5:$B$156=$A24)"),3500.0)</f>
        <v>3500</v>
      </c>
      <c r="J24" s="60">
        <f>IFERROR(__xludf.DUMMYFUNCTION("FILTER('Sources - Averages (Berlin)'!$G$5:$G$156,'Sources - Averages (Berlin)'!$A$5:$A$156=J$4,'Sources - Averages (Berlin)'!$B$5:$B$156=$A24)"),200.0)</f>
        <v>200</v>
      </c>
      <c r="K24" s="60">
        <f>IFERROR(__xludf.DUMMYFUNCTION("FILTER('Sources - Averages (Berlin)'!$G$5:$G$156,'Sources - Averages (Berlin)'!$A$5:$A$156=K$4,'Sources - Averages (Berlin)'!$B$5:$B$156=$A24)"),35000.0)</f>
        <v>35000</v>
      </c>
      <c r="L24" s="60"/>
      <c r="M24" s="60"/>
      <c r="N24" s="62">
        <f t="array" ref="N24">SUM(B24:M24)</f>
        <v>64500</v>
      </c>
      <c r="O24" s="63">
        <f t="shared" si="1"/>
        <v>51000</v>
      </c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59">
        <v>2010.0</v>
      </c>
      <c r="B25" s="60">
        <f>IFERROR(__xludf.DUMMYFUNCTION("FILTER('Sources - Averages (Berlin)'!$G$5:$G$156,'Sources - Averages (Berlin)'!$A$5:$A$156=B$4,'Sources - Averages (Berlin)'!$B$5:$B$156=A25)"),9750.0)</f>
        <v>9750</v>
      </c>
      <c r="C25" s="60"/>
      <c r="D25" s="60"/>
      <c r="E25" s="60">
        <f>IFERROR(__xludf.DUMMYFUNCTION("FILTER('Sources - Averages (Berlin)'!$G$5:$G$156,'Sources - Averages (Berlin)'!$A$5:$A$156=E$4,'Sources - Averages (Berlin)'!$B$5:$B$156=$A25)"),12500.0)</f>
        <v>12500</v>
      </c>
      <c r="F25" s="60">
        <f>IFERROR(__xludf.DUMMYFUNCTION("FILTER('Sources - Averages (Berlin)'!$G$5:$G$156,'Sources - Averages (Berlin)'!$A$5:$A$156=F$4,'Sources - Averages (Berlin)'!$B$5:$B$156=$A25)"),50.0)</f>
        <v>50</v>
      </c>
      <c r="G25" s="60"/>
      <c r="H25" s="60"/>
      <c r="I25" s="60">
        <f>IFERROR(__xludf.DUMMYFUNCTION("FILTER('Sources - Averages (Berlin)'!$G$5:$G$156,'Sources - Averages (Berlin)'!$A$5:$A$156=I$4,'Sources - Averages (Berlin)'!$B$5:$B$156=$A25)"),10000.0)</f>
        <v>10000</v>
      </c>
      <c r="J25" s="60">
        <f>IFERROR(__xludf.DUMMYFUNCTION("FILTER('Sources - Averages (Berlin)'!$G$5:$G$156,'Sources - Averages (Berlin)'!$A$5:$A$156=J$4,'Sources - Averages (Berlin)'!$B$5:$B$156=$A25)"),700.0)</f>
        <v>700</v>
      </c>
      <c r="K25" s="60">
        <f>IFERROR(__xludf.DUMMYFUNCTION("FILTER('Sources - Averages (Berlin)'!$G$5:$G$156,'Sources - Averages (Berlin)'!$A$5:$A$156=K$4,'Sources - Averages (Berlin)'!$B$5:$B$156=$A25)"),29000.0)</f>
        <v>29000</v>
      </c>
      <c r="L25" s="60"/>
      <c r="M25" s="60"/>
      <c r="N25" s="62">
        <f t="array" ref="N25">SUM(B25:M25)</f>
        <v>62000</v>
      </c>
      <c r="O25" s="63">
        <f t="shared" si="1"/>
        <v>52250</v>
      </c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59">
        <v>2011.0</v>
      </c>
      <c r="B26" s="60">
        <f>IFERROR(__xludf.DUMMYFUNCTION("FILTER('Sources - Averages (Berlin)'!$G$5:$G$156,'Sources - Averages (Berlin)'!$A$5:$A$156=B$4,'Sources - Averages (Berlin)'!$B$5:$B$156=A26)"),11500.0)</f>
        <v>11500</v>
      </c>
      <c r="C26" s="60"/>
      <c r="D26" s="60"/>
      <c r="E26" s="60">
        <f>IFERROR(__xludf.DUMMYFUNCTION("FILTER('Sources - Averages (Berlin)'!$G$5:$G$156,'Sources - Averages (Berlin)'!$A$5:$A$156=E$4,'Sources - Averages (Berlin)'!$B$5:$B$156=$A26)"),11333.333333333334)</f>
        <v>11333.33333</v>
      </c>
      <c r="F26" s="60"/>
      <c r="G26" s="60"/>
      <c r="H26" s="60"/>
      <c r="I26" s="60"/>
      <c r="J26" s="60"/>
      <c r="K26" s="60">
        <f>IFERROR(__xludf.DUMMYFUNCTION("FILTER('Sources - Averages (Berlin)'!$G$5:$G$156,'Sources - Averages (Berlin)'!$A$5:$A$156=K$4,'Sources - Averages (Berlin)'!$B$5:$B$156=$A26)"),27000.0)</f>
        <v>27000</v>
      </c>
      <c r="L26" s="60"/>
      <c r="M26" s="60"/>
      <c r="N26" s="62">
        <f t="array" ref="N26">SUM(B26:M26)</f>
        <v>49833.33333</v>
      </c>
      <c r="O26" s="63">
        <f t="shared" si="1"/>
        <v>38333.33333</v>
      </c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59">
        <v>2012.0</v>
      </c>
      <c r="B27" s="60">
        <f>IFERROR(__xludf.DUMMYFUNCTION("FILTER('Sources - Averages (Berlin)'!$G$5:$G$156,'Sources - Averages (Berlin)'!$A$5:$A$156=B$4,'Sources - Averages (Berlin)'!$B$5:$B$156=A27)"),12625.0)</f>
        <v>12625</v>
      </c>
      <c r="C27" s="60"/>
      <c r="D27" s="60"/>
      <c r="E27" s="60">
        <f>IFERROR(__xludf.DUMMYFUNCTION("FILTER('Sources - Averages (Berlin)'!$G$5:$G$156,'Sources - Averages (Berlin)'!$A$5:$A$156=E$4,'Sources - Averages (Berlin)'!$B$5:$B$156=$A27)"),18500.0)</f>
        <v>18500</v>
      </c>
      <c r="F27" s="60"/>
      <c r="G27" s="60"/>
      <c r="H27" s="60"/>
      <c r="I27" s="60"/>
      <c r="J27" s="60"/>
      <c r="K27" s="60">
        <f>IFERROR(__xludf.DUMMYFUNCTION("FILTER('Sources - Averages (Berlin)'!$G$5:$G$156,'Sources - Averages (Berlin)'!$A$5:$A$156=K$4,'Sources - Averages (Berlin)'!$B$5:$B$156=$A27)"),31333.333333333332)</f>
        <v>31333.33333</v>
      </c>
      <c r="L27" s="60"/>
      <c r="M27" s="60"/>
      <c r="N27" s="62">
        <f t="array" ref="N27">SUM(B27:M27)</f>
        <v>62458.33333</v>
      </c>
      <c r="O27" s="63">
        <f t="shared" si="1"/>
        <v>49833.33333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59">
        <v>2013.0</v>
      </c>
      <c r="B28" s="60">
        <f>IFERROR(__xludf.DUMMYFUNCTION("FILTER('Sources - Averages (Berlin)'!$G$5:$G$156,'Sources - Averages (Berlin)'!$A$5:$A$156=B$4,'Sources - Averages (Berlin)'!$B$5:$B$156=A28)"),9750.0)</f>
        <v>9750</v>
      </c>
      <c r="C28" s="60"/>
      <c r="D28" s="60"/>
      <c r="E28" s="60">
        <f>IFERROR(__xludf.DUMMYFUNCTION("FILTER('Sources - Averages (Berlin)'!$G$5:$G$156,'Sources - Averages (Berlin)'!$A$5:$A$156=E$4,'Sources - Averages (Berlin)'!$B$5:$B$156=$A28)"),11666.666666666666)</f>
        <v>11666.66667</v>
      </c>
      <c r="F28" s="60"/>
      <c r="G28" s="60"/>
      <c r="H28" s="60"/>
      <c r="I28" s="60">
        <f>IFERROR(__xludf.DUMMYFUNCTION("FILTER('Sources - Averages (Berlin)'!$G$5:$G$156,'Sources - Averages (Berlin)'!$A$5:$A$156=I$4,'Sources - Averages (Berlin)'!$B$5:$B$156=$A28)"),2000.0)</f>
        <v>2000</v>
      </c>
      <c r="J28" s="60">
        <f>IFERROR(__xludf.DUMMYFUNCTION("FILTER('Sources - Averages (Berlin)'!$G$5:$G$156,'Sources - Averages (Berlin)'!$A$5:$A$156=J$4,'Sources - Averages (Berlin)'!$B$5:$B$156=$A28)"),300.0)</f>
        <v>300</v>
      </c>
      <c r="K28" s="60">
        <f>IFERROR(__xludf.DUMMYFUNCTION("FILTER('Sources - Averages (Berlin)'!$G$5:$G$156,'Sources - Averages (Berlin)'!$A$5:$A$156=K$4,'Sources - Averages (Berlin)'!$B$5:$B$156=$A28)"),40000.0)</f>
        <v>40000</v>
      </c>
      <c r="L28" s="60"/>
      <c r="M28" s="60"/>
      <c r="N28" s="62">
        <f t="array" ref="N28">SUM(B28:M28)</f>
        <v>63716.66667</v>
      </c>
      <c r="O28" s="63">
        <f t="shared" si="1"/>
        <v>53966.66667</v>
      </c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59">
        <v>2014.0</v>
      </c>
      <c r="B29" s="60">
        <f>IFERROR(__xludf.DUMMYFUNCTION("FILTER('Sources - Averages (Berlin)'!$G$5:$G$156,'Sources - Averages (Berlin)'!$A$5:$A$156=B$4,'Sources - Averages (Berlin)'!$B$5:$B$156=A29)"),10000.0)</f>
        <v>10000</v>
      </c>
      <c r="C29" s="60"/>
      <c r="D29" s="60"/>
      <c r="E29" s="60">
        <f>IFERROR(__xludf.DUMMYFUNCTION("FILTER('Sources - Averages (Berlin)'!$G$5:$G$156,'Sources - Averages (Berlin)'!$A$5:$A$156=E$4,'Sources - Averages (Berlin)'!$B$5:$B$156=$A29)"),22000.0)</f>
        <v>22000</v>
      </c>
      <c r="F29" s="60"/>
      <c r="G29" s="60"/>
      <c r="H29" s="60"/>
      <c r="I29" s="60"/>
      <c r="J29" s="60"/>
      <c r="K29" s="60">
        <f>IFERROR(__xludf.DUMMYFUNCTION("FILTER('Sources - Averages (Berlin)'!$G$5:$G$156,'Sources - Averages (Berlin)'!$A$5:$A$156=K$4,'Sources - Averages (Berlin)'!$B$5:$B$156=$A29)"),40000.0)</f>
        <v>40000</v>
      </c>
      <c r="L29" s="60"/>
      <c r="M29" s="60"/>
      <c r="N29" s="62">
        <f t="array" ref="N29">SUM(B29:M29)</f>
        <v>72000</v>
      </c>
      <c r="O29" s="63">
        <f t="shared" si="1"/>
        <v>62000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59">
        <v>2015.0</v>
      </c>
      <c r="B30" s="60">
        <f>IFERROR(__xludf.DUMMYFUNCTION("FILTER('Sources - Averages (Berlin)'!$G$5:$G$156,'Sources - Averages (Berlin)'!$A$5:$A$156=B$4,'Sources - Averages (Berlin)'!$B$5:$B$156=A30)"),15000.0)</f>
        <v>15000</v>
      </c>
      <c r="C30" s="60"/>
      <c r="D30" s="60"/>
      <c r="E30" s="60">
        <f>IFERROR(__xludf.DUMMYFUNCTION("FILTER('Sources - Averages (Berlin)'!$G$5:$G$156,'Sources - Averages (Berlin)'!$A$5:$A$156=E$4,'Sources - Averages (Berlin)'!$B$5:$B$156=$A30)"),25500.0)</f>
        <v>25500</v>
      </c>
      <c r="F30" s="60"/>
      <c r="G30" s="60"/>
      <c r="H30" s="60"/>
      <c r="I30" s="60">
        <f>IFERROR(__xludf.DUMMYFUNCTION("FILTER('Sources - Averages (Berlin)'!$G$5:$G$156,'Sources - Averages (Berlin)'!$A$5:$A$156=I$4,'Sources - Averages (Berlin)'!$B$5:$B$156=$A30)"),500.0)</f>
        <v>500</v>
      </c>
      <c r="J30" s="60">
        <f>IFERROR(__xludf.DUMMYFUNCTION("FILTER('Sources - Averages (Berlin)'!$G$5:$G$156,'Sources - Averages (Berlin)'!$A$5:$A$156=J$4,'Sources - Averages (Berlin)'!$B$5:$B$156=$A30)"),50.0)</f>
        <v>50</v>
      </c>
      <c r="K30" s="60">
        <f>IFERROR(__xludf.DUMMYFUNCTION("FILTER('Sources - Averages (Berlin)'!$G$5:$G$156,'Sources - Averages (Berlin)'!$A$5:$A$156=K$4,'Sources - Averages (Berlin)'!$B$5:$B$156=$A30)"),45000.0)</f>
        <v>45000</v>
      </c>
      <c r="L30" s="60"/>
      <c r="M30" s="60"/>
      <c r="N30" s="62">
        <f t="array" ref="N30">SUM(B30:M30)</f>
        <v>86050</v>
      </c>
      <c r="O30" s="63">
        <f t="shared" si="1"/>
        <v>71050</v>
      </c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59">
        <v>2016.0</v>
      </c>
      <c r="B31" s="60">
        <f>IFERROR(__xludf.DUMMYFUNCTION("FILTER('Sources - Averages (Berlin)'!$G$5:$G$156,'Sources - Averages (Berlin)'!$A$5:$A$156=B$4,'Sources - Averages (Berlin)'!$B$5:$B$156=A31)"),14000.0)</f>
        <v>14000</v>
      </c>
      <c r="C31" s="60"/>
      <c r="D31" s="60"/>
      <c r="E31" s="60">
        <f>IFERROR(__xludf.DUMMYFUNCTION("FILTER('Sources - Averages (Berlin)'!$G$5:$G$156,'Sources - Averages (Berlin)'!$A$5:$A$156=E$4,'Sources - Averages (Berlin)'!$B$5:$B$156=$A31)"),16500.0)</f>
        <v>16500</v>
      </c>
      <c r="F31" s="60">
        <f>IFERROR(__xludf.DUMMYFUNCTION("FILTER('Sources - Averages (Berlin)'!$G$5:$G$156,'Sources - Averages (Berlin)'!$A$5:$A$156=F$4,'Sources - Averages (Berlin)'!$B$5:$B$156=$A31)"),250.0)</f>
        <v>250</v>
      </c>
      <c r="G31" s="60"/>
      <c r="H31" s="60"/>
      <c r="I31" s="60">
        <f>IFERROR(__xludf.DUMMYFUNCTION("FILTER('Sources - Averages (Berlin)'!$G$5:$G$156,'Sources - Averages (Berlin)'!$A$5:$A$156=I$4,'Sources - Averages (Berlin)'!$B$5:$B$156=$A31)"),900.0)</f>
        <v>900</v>
      </c>
      <c r="J31" s="60">
        <f>IFERROR(__xludf.DUMMYFUNCTION("FILTER('Sources - Averages (Berlin)'!$G$5:$G$156,'Sources - Averages (Berlin)'!$A$5:$A$156=J$4,'Sources - Averages (Berlin)'!$B$5:$B$156=$A31)"),50.0)</f>
        <v>50</v>
      </c>
      <c r="K31" s="60">
        <f>IFERROR(__xludf.DUMMYFUNCTION("FILTER('Sources - Averages (Berlin)'!$G$5:$G$156,'Sources - Averages (Berlin)'!$A$5:$A$156=K$4,'Sources - Averages (Berlin)'!$B$5:$B$156=$A31)"),30000.0)</f>
        <v>30000</v>
      </c>
      <c r="L31" s="60"/>
      <c r="M31" s="60"/>
      <c r="N31" s="62">
        <f t="array" ref="N31">SUM(B31:M31)</f>
        <v>61700</v>
      </c>
      <c r="O31" s="63">
        <f t="shared" si="1"/>
        <v>47700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59">
        <v>2017.0</v>
      </c>
      <c r="B32" s="60">
        <f>IFERROR(__xludf.DUMMYFUNCTION("FILTER('Sources - Averages (Berlin)'!$G$5:$G$156,'Sources - Averages (Berlin)'!$A$5:$A$156=B$4,'Sources - Averages (Berlin)'!$B$5:$B$156=A32)"),14000.0)</f>
        <v>14000</v>
      </c>
      <c r="C32" s="60"/>
      <c r="D32" s="60"/>
      <c r="E32" s="60">
        <f>IFERROR(__xludf.DUMMYFUNCTION("FILTER('Sources - Averages (Berlin)'!$G$5:$G$156,'Sources - Averages (Berlin)'!$A$5:$A$156=E$4,'Sources - Averages (Berlin)'!$B$5:$B$156=$A32)"),15000.0)</f>
        <v>15000</v>
      </c>
      <c r="F32" s="60">
        <f>IFERROR(__xludf.DUMMYFUNCTION("FILTER('Sources - Averages (Berlin)'!$G$5:$G$156,'Sources - Averages (Berlin)'!$A$5:$A$156=F$4,'Sources - Averages (Berlin)'!$B$5:$B$156=$A32)"),250.0)</f>
        <v>250</v>
      </c>
      <c r="G32" s="60"/>
      <c r="H32" s="60"/>
      <c r="I32" s="60">
        <f>IFERROR(__xludf.DUMMYFUNCTION("FILTER('Sources - Averages (Berlin)'!$G$5:$G$156,'Sources - Averages (Berlin)'!$A$5:$A$156=I$4,'Sources - Averages (Berlin)'!$B$5:$B$156=$A32)"),600.0)</f>
        <v>600</v>
      </c>
      <c r="J32" s="60">
        <f>IFERROR(__xludf.DUMMYFUNCTION("FILTER('Sources - Averages (Berlin)'!$G$5:$G$156,'Sources - Averages (Berlin)'!$A$5:$A$156=J$4,'Sources - Averages (Berlin)'!$B$5:$B$156=$A32)"),50.0)</f>
        <v>50</v>
      </c>
      <c r="K32" s="60">
        <f>IFERROR(__xludf.DUMMYFUNCTION("FILTER('Sources - Averages (Berlin)'!$G$5:$G$156,'Sources - Averages (Berlin)'!$A$5:$A$156=K$4,'Sources - Averages (Berlin)'!$B$5:$B$156=$A32)"),45000.0)</f>
        <v>45000</v>
      </c>
      <c r="L32" s="60"/>
      <c r="M32" s="60"/>
      <c r="N32" s="62">
        <f t="array" ref="N32">SUM(B32:M32)</f>
        <v>74900</v>
      </c>
      <c r="O32" s="63">
        <f t="shared" si="1"/>
        <v>60900</v>
      </c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59">
        <v>2018.0</v>
      </c>
      <c r="B33" s="60">
        <f>IFERROR(__xludf.DUMMYFUNCTION("FILTER('Sources - Averages (Berlin)'!$G$5:$G$156,'Sources - Averages (Berlin)'!$A$5:$A$156=B$4,'Sources - Averages (Berlin)'!$B$5:$B$156=A33)"),9500.0)</f>
        <v>9500</v>
      </c>
      <c r="C33" s="60"/>
      <c r="D33" s="60"/>
      <c r="E33" s="60">
        <f>IFERROR(__xludf.DUMMYFUNCTION("FILTER('Sources - Averages (Berlin)'!$G$5:$G$156,'Sources - Averages (Berlin)'!$A$5:$A$156=E$4,'Sources - Averages (Berlin)'!$B$5:$B$156=$A33)"),12500.0)</f>
        <v>12500</v>
      </c>
      <c r="F33" s="60">
        <f>IFERROR(__xludf.DUMMYFUNCTION("FILTER('Sources - Averages (Berlin)'!$G$5:$G$156,'Sources - Averages (Berlin)'!$A$5:$A$156=F$4,'Sources - Averages (Berlin)'!$B$5:$B$156=$A33)"),200.0)</f>
        <v>200</v>
      </c>
      <c r="G33" s="60"/>
      <c r="H33" s="60"/>
      <c r="I33" s="60"/>
      <c r="J33" s="60">
        <f>IFERROR(__xludf.DUMMYFUNCTION("FILTER('Sources - Averages (Berlin)'!$G$5:$G$156,'Sources - Averages (Berlin)'!$A$5:$A$156=J$4,'Sources - Averages (Berlin)'!$B$5:$B$156=$A33)"),30.0)</f>
        <v>30</v>
      </c>
      <c r="K33" s="60">
        <f>IFERROR(__xludf.DUMMYFUNCTION("FILTER('Sources - Averages (Berlin)'!$G$5:$G$156,'Sources - Averages (Berlin)'!$A$5:$A$156=K$4,'Sources - Averages (Berlin)'!$B$5:$B$156=$A33)"),52000.0)</f>
        <v>52000</v>
      </c>
      <c r="L33" s="60"/>
      <c r="M33" s="60">
        <f>IFERROR(__xludf.DUMMYFUNCTION("FILTER('Sources - Averages (Berlin)'!$G$5:$G$156,'Sources - Averages (Berlin)'!$A$5:$A$156=M$4,'Sources - Averages (Berlin)'!$B$5:$B$156=$A33)"),3250.0)</f>
        <v>3250</v>
      </c>
      <c r="N33" s="62">
        <f t="array" ref="N33">SUM(B33:M33)</f>
        <v>77480</v>
      </c>
      <c r="O33" s="63">
        <f t="shared" si="1"/>
        <v>67980</v>
      </c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59">
        <v>2019.0</v>
      </c>
      <c r="B34" s="60">
        <f>IFERROR(__xludf.DUMMYFUNCTION("FILTER('Sources - Averages (Berlin)'!$G$5:$G$156,'Sources - Averages (Berlin)'!$A$5:$A$156=B$4,'Sources - Averages (Berlin)'!$B$5:$B$156=A34)"),13000.0)</f>
        <v>13000</v>
      </c>
      <c r="C34" s="60"/>
      <c r="D34" s="60"/>
      <c r="E34" s="60">
        <f>IFERROR(__xludf.DUMMYFUNCTION("FILTER('Sources - Averages (Berlin)'!$G$5:$G$156,'Sources - Averages (Berlin)'!$A$5:$A$156=E$4,'Sources - Averages (Berlin)'!$B$5:$B$156=$A34)"),10000.0)</f>
        <v>10000</v>
      </c>
      <c r="F34" s="60">
        <f>IFERROR(__xludf.DUMMYFUNCTION("FILTER('Sources - Averages (Berlin)'!$G$5:$G$156,'Sources - Averages (Berlin)'!$A$5:$A$156=F$4,'Sources - Averages (Berlin)'!$B$5:$B$156=$A34)"),200.0)</f>
        <v>200</v>
      </c>
      <c r="G34" s="60"/>
      <c r="H34" s="60"/>
      <c r="I34" s="60">
        <f>IFERROR(__xludf.DUMMYFUNCTION("FILTER('Sources - Averages (Berlin)'!$G$5:$G$156,'Sources - Averages (Berlin)'!$A$5:$A$156=I$4,'Sources - Averages (Berlin)'!$B$5:$B$156=$A34)"),500.0)</f>
        <v>500</v>
      </c>
      <c r="J34" s="60">
        <f>IFERROR(__xludf.DUMMYFUNCTION("FILTER('Sources - Averages (Berlin)'!$G$5:$G$156,'Sources - Averages (Berlin)'!$A$5:$A$156=J$4,'Sources - Averages (Berlin)'!$B$5:$B$156=$A34)"),100.0)</f>
        <v>100</v>
      </c>
      <c r="K34" s="60">
        <f>IFERROR(__xludf.DUMMYFUNCTION("FILTER('Sources - Averages (Berlin)'!$G$5:$G$156,'Sources - Averages (Berlin)'!$A$5:$A$156=K$4,'Sources - Averages (Berlin)'!$B$5:$B$156=$A34)"),45000.0)</f>
        <v>45000</v>
      </c>
      <c r="L34" s="60"/>
      <c r="M34" s="60">
        <f>IFERROR(__xludf.DUMMYFUNCTION("FILTER('Sources - Averages (Berlin)'!$G$5:$G$156,'Sources - Averages (Berlin)'!$A$5:$A$156=M$4,'Sources - Averages (Berlin)'!$B$5:$B$156=$A34)"),4375.0)</f>
        <v>4375</v>
      </c>
      <c r="N34" s="62">
        <f t="array" ref="N34">SUM(B34:M34)</f>
        <v>73175</v>
      </c>
      <c r="O34" s="63">
        <f t="shared" si="1"/>
        <v>60175</v>
      </c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6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67" t="s">
        <v>51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70" t="s">
        <v>55</v>
      </c>
      <c r="B37" s="71">
        <f t="array" ref="B37">IFERROR(AVERAGE(B5:B34),"-")</f>
        <v>13997.5</v>
      </c>
      <c r="C37" s="72">
        <f t="array" ref="C37">COUNT(B5:B34)</f>
        <v>30</v>
      </c>
      <c r="D37" s="73" t="s">
        <v>52</v>
      </c>
      <c r="E37" s="68"/>
      <c r="F37" s="68"/>
      <c r="G37" s="68"/>
      <c r="H37" s="68"/>
      <c r="I37" s="68"/>
      <c r="J37" s="68"/>
      <c r="K37" s="68"/>
      <c r="L37" s="68"/>
      <c r="M37" s="68"/>
      <c r="N37" s="6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70" t="s">
        <v>56</v>
      </c>
      <c r="B38" s="71">
        <f t="array" ref="B38">IFERROR(AVERAGE(C5:C34),"-")</f>
        <v>7125</v>
      </c>
      <c r="C38" s="72">
        <f t="array" ref="C38">COUNT(C5:C34)</f>
        <v>4</v>
      </c>
      <c r="D38" s="73" t="s">
        <v>52</v>
      </c>
      <c r="E38" s="68"/>
      <c r="F38" s="68"/>
      <c r="G38" s="68"/>
      <c r="H38" s="68"/>
      <c r="I38" s="68"/>
      <c r="J38" s="68"/>
      <c r="K38" s="68"/>
      <c r="L38" s="68"/>
      <c r="M38" s="68"/>
      <c r="N38" s="6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70" t="s">
        <v>57</v>
      </c>
      <c r="B39" s="71">
        <f t="array" ref="B39">IFERROR(AVERAGE(D5:D34),"-")</f>
        <v>8011.111111</v>
      </c>
      <c r="C39" s="72">
        <f t="array" ref="C39">COUNT(D5:D34)</f>
        <v>6</v>
      </c>
      <c r="D39" s="73" t="s">
        <v>52</v>
      </c>
      <c r="E39" s="68"/>
      <c r="F39" s="68"/>
      <c r="G39" s="68"/>
      <c r="H39" s="68"/>
      <c r="I39" s="68"/>
      <c r="J39" s="68"/>
      <c r="K39" s="68"/>
      <c r="L39" s="68"/>
      <c r="M39" s="68"/>
      <c r="N39" s="6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70" t="s">
        <v>58</v>
      </c>
      <c r="B40" s="71">
        <f t="array" ref="B40">IFERROR(AVERAGE(E5:E34),"-")</f>
        <v>10736.11111</v>
      </c>
      <c r="C40" s="72">
        <f t="array" ref="C40">COUNT(E5:E34)</f>
        <v>24</v>
      </c>
      <c r="D40" s="73" t="s">
        <v>52</v>
      </c>
      <c r="E40" s="68"/>
      <c r="F40" s="68"/>
      <c r="G40" s="68"/>
      <c r="H40" s="68"/>
      <c r="I40" s="68"/>
      <c r="J40" s="68"/>
      <c r="K40" s="68"/>
      <c r="L40" s="68"/>
      <c r="M40" s="68"/>
      <c r="N40" s="6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70" t="s">
        <v>59</v>
      </c>
      <c r="B41" s="71">
        <f t="array" ref="B41">IFERROR(AVERAGE(F5:F34),"-")</f>
        <v>1606.140351</v>
      </c>
      <c r="C41" s="72">
        <f t="array" ref="C41">COUNT(F5:F34)</f>
        <v>19</v>
      </c>
      <c r="D41" s="73" t="s">
        <v>52</v>
      </c>
      <c r="E41" s="68"/>
      <c r="F41" s="68"/>
      <c r="G41" s="68"/>
      <c r="H41" s="68"/>
      <c r="I41" s="68"/>
      <c r="J41" s="68"/>
      <c r="K41" s="68"/>
      <c r="L41" s="68"/>
      <c r="M41" s="68"/>
      <c r="N41" s="6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70" t="s">
        <v>60</v>
      </c>
      <c r="B42" s="71">
        <f t="array" ref="B42">IFERROR(AVERAGE(G5:G34),"-")</f>
        <v>5100</v>
      </c>
      <c r="C42" s="72">
        <f t="array" ref="C42">COUNT(G5:G34)</f>
        <v>8</v>
      </c>
      <c r="D42" s="73" t="s">
        <v>52</v>
      </c>
      <c r="E42" s="68"/>
      <c r="F42" s="68"/>
      <c r="G42" s="68"/>
      <c r="H42" s="68"/>
      <c r="I42" s="68"/>
      <c r="J42" s="68"/>
      <c r="K42" s="68"/>
      <c r="L42" s="68"/>
      <c r="M42" s="68"/>
      <c r="N42" s="6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70" t="s">
        <v>61</v>
      </c>
      <c r="B43" s="71">
        <f t="array" ref="B43">IFERROR(AVERAGE(H5:H34),"-")</f>
        <v>5250</v>
      </c>
      <c r="C43" s="72">
        <f t="array" ref="C43">COUNT(H5:H34)</f>
        <v>4</v>
      </c>
      <c r="D43" s="73" t="s">
        <v>52</v>
      </c>
      <c r="E43" s="68"/>
      <c r="F43" s="68"/>
      <c r="G43" s="68"/>
      <c r="H43" s="68"/>
      <c r="I43" s="68"/>
      <c r="J43" s="68"/>
      <c r="K43" s="68"/>
      <c r="L43" s="68"/>
      <c r="M43" s="68"/>
      <c r="N43" s="6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70" t="s">
        <v>62</v>
      </c>
      <c r="B44" s="71">
        <f t="array" ref="B44">IFERROR(AVERAGE(I5:I34),"-")</f>
        <v>2254.333333</v>
      </c>
      <c r="C44" s="72">
        <f t="array" ref="C44">COUNT(I5:I34)</f>
        <v>15</v>
      </c>
      <c r="D44" s="73" t="s">
        <v>52</v>
      </c>
      <c r="E44" s="68"/>
      <c r="F44" s="68"/>
      <c r="G44" s="68"/>
      <c r="H44" s="68"/>
      <c r="I44" s="68"/>
      <c r="J44" s="68"/>
      <c r="K44" s="68"/>
      <c r="L44" s="68"/>
      <c r="M44" s="68"/>
      <c r="N44" s="6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70" t="s">
        <v>67</v>
      </c>
      <c r="B45" s="71">
        <f t="array" ref="B45">IFERROR(AVERAGE(J5:J34),"-")</f>
        <v>456.4705882</v>
      </c>
      <c r="C45" s="72">
        <f t="array" ref="C45">COUNT(J5:J34)</f>
        <v>17</v>
      </c>
      <c r="D45" s="73" t="s">
        <v>52</v>
      </c>
      <c r="E45" s="68"/>
      <c r="F45" s="68"/>
      <c r="G45" s="68"/>
      <c r="H45" s="68"/>
      <c r="I45" s="68"/>
      <c r="J45" s="68"/>
      <c r="K45" s="68"/>
      <c r="L45" s="68"/>
      <c r="M45" s="68"/>
      <c r="N45" s="6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70" t="s">
        <v>64</v>
      </c>
      <c r="B46" s="71">
        <f t="array" ref="B46">IFERROR(AVERAGE(K5:K34),"-")</f>
        <v>32784.31373</v>
      </c>
      <c r="C46" s="72">
        <f t="array" ref="C46">COUNT(K5:K34)</f>
        <v>17</v>
      </c>
      <c r="D46" s="73" t="s">
        <v>52</v>
      </c>
      <c r="E46" s="68"/>
      <c r="F46" s="68"/>
      <c r="G46" s="68"/>
      <c r="H46" s="68"/>
      <c r="I46" s="68"/>
      <c r="J46" s="68"/>
      <c r="K46" s="68"/>
      <c r="L46" s="68"/>
      <c r="M46" s="68"/>
      <c r="N46" s="6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70" t="s">
        <v>68</v>
      </c>
      <c r="B47" s="71">
        <f t="array" ref="B47">IFERROR(AVERAGE(L5:L34),"-")</f>
        <v>7875</v>
      </c>
      <c r="C47" s="72">
        <f t="array" ref="C47">COUNT(L5:L34)</f>
        <v>4</v>
      </c>
      <c r="D47" s="73" t="s">
        <v>52</v>
      </c>
      <c r="E47" s="68"/>
      <c r="F47" s="68"/>
      <c r="G47" s="68"/>
      <c r="H47" s="68"/>
      <c r="I47" s="68"/>
      <c r="J47" s="68"/>
      <c r="K47" s="68"/>
      <c r="L47" s="68"/>
      <c r="M47" s="68"/>
      <c r="N47" s="6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70" t="s">
        <v>66</v>
      </c>
      <c r="B48" s="71">
        <f t="array" ref="B48">IFERROR(AVERAGE(M5:M34),"-")</f>
        <v>3812.5</v>
      </c>
      <c r="C48" s="72">
        <f t="array" ref="C48">COUNT(M5:M34)</f>
        <v>2</v>
      </c>
      <c r="D48" s="73" t="s">
        <v>52</v>
      </c>
      <c r="E48" s="68"/>
      <c r="F48" s="68"/>
      <c r="G48" s="68"/>
      <c r="H48" s="68"/>
      <c r="I48" s="68"/>
      <c r="J48" s="68"/>
      <c r="K48" s="68"/>
      <c r="L48" s="68"/>
      <c r="M48" s="68"/>
      <c r="N48" s="6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74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36" t="s">
        <v>69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8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1"/>
    <mergeCell ref="A2:N2"/>
    <mergeCell ref="A50:N5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11" width="15.0"/>
    <col customWidth="1" min="12" max="12" width="26.0"/>
    <col customWidth="1" min="13" max="13" width="4.0"/>
  </cols>
  <sheetData>
    <row r="1" ht="25.5" customHeight="1">
      <c r="A1" s="78" t="s">
        <v>70</v>
      </c>
    </row>
    <row r="2" ht="15.75" customHeight="1">
      <c r="A2" s="79" t="s">
        <v>71</v>
      </c>
    </row>
    <row r="4" ht="27.75" customHeight="1">
      <c r="A4" s="80" t="s">
        <v>11</v>
      </c>
      <c r="B4" s="80" t="s">
        <v>72</v>
      </c>
      <c r="C4" s="81" t="s">
        <v>73</v>
      </c>
      <c r="D4" s="82" t="s">
        <v>74</v>
      </c>
      <c r="E4" s="83" t="s">
        <v>75</v>
      </c>
      <c r="F4" s="84" t="s">
        <v>76</v>
      </c>
      <c r="G4" s="85" t="s">
        <v>77</v>
      </c>
      <c r="H4" s="80" t="s">
        <v>78</v>
      </c>
      <c r="I4" s="86" t="s">
        <v>79</v>
      </c>
      <c r="J4" s="87" t="s">
        <v>80</v>
      </c>
      <c r="K4" s="88" t="s">
        <v>81</v>
      </c>
      <c r="L4" s="80" t="s">
        <v>82</v>
      </c>
      <c r="M4" s="80"/>
    </row>
    <row r="5">
      <c r="A5" s="89">
        <v>1990.0</v>
      </c>
      <c r="B5" s="90">
        <f t="shared" ref="B5:B34" si="1">SUM(C5:K5)</f>
        <v>15</v>
      </c>
      <c r="C5" s="89">
        <v>5.0</v>
      </c>
      <c r="D5" s="89">
        <v>1.0</v>
      </c>
      <c r="E5" s="89">
        <v>4.0</v>
      </c>
      <c r="F5" s="89"/>
      <c r="G5" s="89">
        <v>1.0</v>
      </c>
      <c r="H5" s="89">
        <v>3.0</v>
      </c>
      <c r="I5" s="89"/>
      <c r="J5" s="89"/>
      <c r="K5" s="89">
        <v>1.0</v>
      </c>
      <c r="L5" s="91" t="s">
        <v>83</v>
      </c>
    </row>
    <row r="6">
      <c r="A6" s="89">
        <v>1991.0</v>
      </c>
      <c r="B6" s="90">
        <f t="shared" si="1"/>
        <v>10</v>
      </c>
      <c r="C6" s="89">
        <v>5.0</v>
      </c>
      <c r="D6" s="89"/>
      <c r="E6" s="89">
        <v>3.0</v>
      </c>
      <c r="F6" s="89"/>
      <c r="G6" s="89">
        <v>1.0</v>
      </c>
      <c r="H6" s="89"/>
      <c r="I6" s="89"/>
      <c r="J6" s="89"/>
      <c r="K6" s="89">
        <v>1.0</v>
      </c>
      <c r="L6" s="91" t="s">
        <v>83</v>
      </c>
    </row>
    <row r="7">
      <c r="A7" s="89">
        <v>1992.0</v>
      </c>
      <c r="B7" s="90">
        <f t="shared" si="1"/>
        <v>8</v>
      </c>
      <c r="C7" s="89">
        <v>3.0</v>
      </c>
      <c r="D7" s="89"/>
      <c r="E7" s="89">
        <v>3.0</v>
      </c>
      <c r="F7" s="89"/>
      <c r="G7" s="89">
        <v>1.0</v>
      </c>
      <c r="H7" s="89"/>
      <c r="I7" s="89"/>
      <c r="J7" s="89"/>
      <c r="K7" s="89">
        <v>1.0</v>
      </c>
      <c r="L7" s="91" t="s">
        <v>83</v>
      </c>
    </row>
    <row r="8">
      <c r="A8" s="89">
        <v>1993.0</v>
      </c>
      <c r="B8" s="90">
        <f t="shared" si="1"/>
        <v>10</v>
      </c>
      <c r="C8" s="89">
        <v>3.0</v>
      </c>
      <c r="D8" s="89">
        <v>1.0</v>
      </c>
      <c r="E8" s="89">
        <v>4.0</v>
      </c>
      <c r="F8" s="89"/>
      <c r="G8" s="89">
        <v>1.0</v>
      </c>
      <c r="H8" s="89"/>
      <c r="I8" s="89"/>
      <c r="J8" s="89"/>
      <c r="K8" s="89">
        <v>1.0</v>
      </c>
      <c r="L8" s="91" t="s">
        <v>83</v>
      </c>
    </row>
    <row r="9">
      <c r="A9" s="89">
        <v>1994.0</v>
      </c>
      <c r="B9" s="90">
        <f t="shared" si="1"/>
        <v>12</v>
      </c>
      <c r="C9" s="89">
        <v>4.0</v>
      </c>
      <c r="D9" s="89">
        <v>1.0</v>
      </c>
      <c r="E9" s="89">
        <v>4.0</v>
      </c>
      <c r="F9" s="89"/>
      <c r="G9" s="89">
        <v>1.0</v>
      </c>
      <c r="H9" s="89"/>
      <c r="I9" s="89">
        <v>1.0</v>
      </c>
      <c r="J9" s="89"/>
      <c r="K9" s="89">
        <v>1.0</v>
      </c>
      <c r="L9" s="91" t="s">
        <v>83</v>
      </c>
    </row>
    <row r="10">
      <c r="A10" s="89">
        <v>1995.0</v>
      </c>
      <c r="B10" s="90">
        <f t="shared" si="1"/>
        <v>13</v>
      </c>
      <c r="C10" s="89">
        <v>4.0</v>
      </c>
      <c r="D10" s="89">
        <v>1.0</v>
      </c>
      <c r="E10" s="89">
        <v>4.0</v>
      </c>
      <c r="F10" s="89"/>
      <c r="G10" s="89">
        <v>3.0</v>
      </c>
      <c r="H10" s="89"/>
      <c r="I10" s="89"/>
      <c r="J10" s="89"/>
      <c r="K10" s="92">
        <v>1.0</v>
      </c>
      <c r="L10" s="91" t="s">
        <v>83</v>
      </c>
    </row>
    <row r="11">
      <c r="A11" s="89">
        <v>1996.0</v>
      </c>
      <c r="B11" s="90">
        <f t="shared" si="1"/>
        <v>12</v>
      </c>
      <c r="C11" s="89">
        <v>5.0</v>
      </c>
      <c r="D11" s="89">
        <v>1.0</v>
      </c>
      <c r="E11" s="89">
        <v>4.0</v>
      </c>
      <c r="F11" s="89"/>
      <c r="G11" s="89">
        <v>1.0</v>
      </c>
      <c r="H11" s="89"/>
      <c r="I11" s="89"/>
      <c r="J11" s="89"/>
      <c r="K11" s="89">
        <v>1.0</v>
      </c>
      <c r="L11" s="91" t="s">
        <v>84</v>
      </c>
    </row>
    <row r="12">
      <c r="A12" s="89">
        <v>1997.0</v>
      </c>
      <c r="B12" s="90">
        <f t="shared" si="1"/>
        <v>13</v>
      </c>
      <c r="C12" s="89">
        <v>2.0</v>
      </c>
      <c r="D12" s="89">
        <v>2.0</v>
      </c>
      <c r="E12" s="89">
        <v>6.0</v>
      </c>
      <c r="F12" s="89"/>
      <c r="G12" s="89">
        <v>3.0</v>
      </c>
      <c r="H12" s="89"/>
      <c r="I12" s="89"/>
      <c r="J12" s="89"/>
      <c r="K12" s="92"/>
      <c r="L12" s="91" t="s">
        <v>84</v>
      </c>
    </row>
    <row r="13">
      <c r="A13" s="89">
        <v>1998.0</v>
      </c>
      <c r="B13" s="90">
        <f t="shared" si="1"/>
        <v>11</v>
      </c>
      <c r="C13" s="89">
        <v>3.0</v>
      </c>
      <c r="D13" s="89">
        <v>1.0</v>
      </c>
      <c r="E13" s="89">
        <v>4.0</v>
      </c>
      <c r="F13" s="89"/>
      <c r="G13" s="89">
        <v>1.0</v>
      </c>
      <c r="H13" s="89"/>
      <c r="I13" s="89">
        <v>1.0</v>
      </c>
      <c r="J13" s="89"/>
      <c r="K13" s="89">
        <v>1.0</v>
      </c>
      <c r="L13" s="91" t="s">
        <v>84</v>
      </c>
    </row>
    <row r="14">
      <c r="A14" s="89">
        <v>1999.0</v>
      </c>
      <c r="B14" s="90">
        <f t="shared" si="1"/>
        <v>10</v>
      </c>
      <c r="C14" s="89">
        <v>2.0</v>
      </c>
      <c r="D14" s="89">
        <v>1.0</v>
      </c>
      <c r="E14" s="89">
        <v>4.0</v>
      </c>
      <c r="F14" s="89"/>
      <c r="G14" s="89">
        <v>2.0</v>
      </c>
      <c r="H14" s="89"/>
      <c r="I14" s="89"/>
      <c r="J14" s="89"/>
      <c r="K14" s="92">
        <v>1.0</v>
      </c>
      <c r="L14" s="91" t="s">
        <v>84</v>
      </c>
    </row>
    <row r="15">
      <c r="A15" s="89">
        <v>2000.0</v>
      </c>
      <c r="B15" s="90">
        <f t="shared" si="1"/>
        <v>11</v>
      </c>
      <c r="C15" s="89">
        <v>3.0</v>
      </c>
      <c r="D15" s="89">
        <v>1.0</v>
      </c>
      <c r="E15" s="89">
        <v>4.0</v>
      </c>
      <c r="F15" s="89"/>
      <c r="G15" s="89">
        <v>1.0</v>
      </c>
      <c r="H15" s="89"/>
      <c r="I15" s="89">
        <v>1.0</v>
      </c>
      <c r="J15" s="89"/>
      <c r="K15" s="89">
        <v>1.0</v>
      </c>
      <c r="L15" s="91" t="s">
        <v>84</v>
      </c>
    </row>
    <row r="16">
      <c r="A16" s="89">
        <v>2001.0</v>
      </c>
      <c r="B16" s="90">
        <f t="shared" si="1"/>
        <v>10</v>
      </c>
      <c r="C16" s="89">
        <v>4.0</v>
      </c>
      <c r="D16" s="89">
        <v>1.0</v>
      </c>
      <c r="E16" s="89">
        <v>3.0</v>
      </c>
      <c r="F16" s="89"/>
      <c r="G16" s="89">
        <v>1.0</v>
      </c>
      <c r="H16" s="89"/>
      <c r="I16" s="89"/>
      <c r="J16" s="89"/>
      <c r="K16" s="92">
        <v>1.0</v>
      </c>
      <c r="L16" s="91" t="s">
        <v>84</v>
      </c>
    </row>
    <row r="17">
      <c r="A17" s="89">
        <v>2002.0</v>
      </c>
      <c r="B17" s="90">
        <f t="shared" si="1"/>
        <v>9</v>
      </c>
      <c r="C17" s="89">
        <v>3.0</v>
      </c>
      <c r="D17" s="89">
        <v>1.0</v>
      </c>
      <c r="E17" s="89">
        <v>2.0</v>
      </c>
      <c r="F17" s="89"/>
      <c r="G17" s="89">
        <v>2.0</v>
      </c>
      <c r="H17" s="89"/>
      <c r="I17" s="89"/>
      <c r="J17" s="89"/>
      <c r="K17" s="92">
        <v>1.0</v>
      </c>
      <c r="L17" s="91" t="s">
        <v>85</v>
      </c>
    </row>
    <row r="18">
      <c r="A18" s="89">
        <v>2003.0</v>
      </c>
      <c r="B18" s="90">
        <f t="shared" si="1"/>
        <v>10</v>
      </c>
      <c r="C18" s="89">
        <v>5.0</v>
      </c>
      <c r="D18" s="89">
        <v>1.0</v>
      </c>
      <c r="E18" s="89">
        <v>2.0</v>
      </c>
      <c r="F18" s="89"/>
      <c r="G18" s="89">
        <v>1.0</v>
      </c>
      <c r="H18" s="89"/>
      <c r="I18" s="89"/>
      <c r="J18" s="89"/>
      <c r="K18" s="89">
        <v>1.0</v>
      </c>
      <c r="L18" s="91" t="s">
        <v>85</v>
      </c>
    </row>
    <row r="19">
      <c r="A19" s="89">
        <v>2004.0</v>
      </c>
      <c r="B19" s="90">
        <f t="shared" si="1"/>
        <v>7</v>
      </c>
      <c r="C19" s="89">
        <v>3.0</v>
      </c>
      <c r="D19" s="89">
        <v>1.0</v>
      </c>
      <c r="E19" s="89">
        <v>2.0</v>
      </c>
      <c r="F19" s="89"/>
      <c r="G19" s="89"/>
      <c r="H19" s="89"/>
      <c r="I19" s="89"/>
      <c r="J19" s="89"/>
      <c r="K19" s="92">
        <v>1.0</v>
      </c>
      <c r="L19" s="91" t="s">
        <v>85</v>
      </c>
    </row>
    <row r="20">
      <c r="A20" s="89">
        <v>2005.0</v>
      </c>
      <c r="B20" s="90">
        <f t="shared" si="1"/>
        <v>8</v>
      </c>
      <c r="C20" s="89">
        <v>2.0</v>
      </c>
      <c r="D20" s="89">
        <v>2.0</v>
      </c>
      <c r="E20" s="89">
        <v>3.0</v>
      </c>
      <c r="F20" s="89"/>
      <c r="G20" s="89"/>
      <c r="H20" s="89"/>
      <c r="I20" s="89"/>
      <c r="J20" s="89"/>
      <c r="K20" s="92">
        <v>1.0</v>
      </c>
      <c r="L20" s="91" t="s">
        <v>85</v>
      </c>
    </row>
    <row r="21" ht="15.75" customHeight="1">
      <c r="A21" s="89">
        <v>2006.0</v>
      </c>
      <c r="B21" s="90">
        <f t="shared" si="1"/>
        <v>6</v>
      </c>
      <c r="C21" s="89">
        <v>2.0</v>
      </c>
      <c r="D21" s="89"/>
      <c r="E21" s="89">
        <v>3.0</v>
      </c>
      <c r="F21" s="89"/>
      <c r="G21" s="89"/>
      <c r="H21" s="89"/>
      <c r="I21" s="89"/>
      <c r="J21" s="89"/>
      <c r="K21" s="92">
        <v>1.0</v>
      </c>
      <c r="L21" s="91" t="s">
        <v>85</v>
      </c>
    </row>
    <row r="22" ht="15.75" customHeight="1">
      <c r="A22" s="89">
        <v>2007.0</v>
      </c>
      <c r="B22" s="90">
        <f t="shared" si="1"/>
        <v>11</v>
      </c>
      <c r="C22" s="89">
        <v>4.0</v>
      </c>
      <c r="D22" s="89">
        <v>1.0</v>
      </c>
      <c r="E22" s="89">
        <v>3.0</v>
      </c>
      <c r="F22" s="89"/>
      <c r="G22" s="89">
        <v>1.0</v>
      </c>
      <c r="H22" s="89"/>
      <c r="I22" s="89">
        <v>1.0</v>
      </c>
      <c r="J22" s="89"/>
      <c r="K22" s="89">
        <v>1.0</v>
      </c>
      <c r="L22" s="91" t="s">
        <v>85</v>
      </c>
    </row>
    <row r="23" ht="15.75" customHeight="1">
      <c r="A23" s="89">
        <v>2008.0</v>
      </c>
      <c r="B23" s="90">
        <f t="shared" si="1"/>
        <v>9</v>
      </c>
      <c r="C23" s="89">
        <v>4.0</v>
      </c>
      <c r="D23" s="89">
        <v>1.0</v>
      </c>
      <c r="E23" s="89">
        <v>3.0</v>
      </c>
      <c r="F23" s="89"/>
      <c r="G23" s="89"/>
      <c r="H23" s="89"/>
      <c r="I23" s="89"/>
      <c r="J23" s="89"/>
      <c r="K23" s="92">
        <v>1.0</v>
      </c>
      <c r="L23" s="91" t="s">
        <v>85</v>
      </c>
    </row>
    <row r="24" ht="15.75" customHeight="1">
      <c r="A24" s="89">
        <v>2009.0</v>
      </c>
      <c r="B24" s="90">
        <f t="shared" si="1"/>
        <v>10</v>
      </c>
      <c r="C24" s="89">
        <v>4.0</v>
      </c>
      <c r="D24" s="89"/>
      <c r="E24" s="89">
        <v>3.0</v>
      </c>
      <c r="F24" s="89"/>
      <c r="G24" s="89">
        <v>2.0</v>
      </c>
      <c r="H24" s="89"/>
      <c r="I24" s="89"/>
      <c r="J24" s="89"/>
      <c r="K24" s="89">
        <v>1.0</v>
      </c>
      <c r="L24" s="91" t="s">
        <v>85</v>
      </c>
    </row>
    <row r="25" ht="15.75" customHeight="1">
      <c r="A25" s="89">
        <v>2010.0</v>
      </c>
      <c r="B25" s="90">
        <f t="shared" si="1"/>
        <v>4</v>
      </c>
      <c r="C25" s="89">
        <v>2.0</v>
      </c>
      <c r="D25" s="89"/>
      <c r="E25" s="89">
        <v>2.0</v>
      </c>
      <c r="F25" s="89"/>
      <c r="G25" s="89"/>
      <c r="H25" s="89"/>
      <c r="I25" s="89"/>
      <c r="J25" s="89"/>
      <c r="K25" s="89"/>
      <c r="L25" s="91" t="s">
        <v>85</v>
      </c>
    </row>
    <row r="26" ht="15.75" customHeight="1">
      <c r="A26" s="89">
        <v>2011.0</v>
      </c>
      <c r="B26" s="90">
        <f t="shared" si="1"/>
        <v>7</v>
      </c>
      <c r="C26" s="89">
        <v>3.0</v>
      </c>
      <c r="D26" s="89"/>
      <c r="E26" s="89">
        <v>4.0</v>
      </c>
      <c r="F26" s="89"/>
      <c r="G26" s="89"/>
      <c r="H26" s="89"/>
      <c r="I26" s="89"/>
      <c r="J26" s="89"/>
      <c r="K26" s="89"/>
      <c r="L26" s="91" t="s">
        <v>86</v>
      </c>
    </row>
    <row r="27" ht="15.75" customHeight="1">
      <c r="A27" s="89">
        <v>2012.0</v>
      </c>
      <c r="B27" s="90">
        <f t="shared" si="1"/>
        <v>7</v>
      </c>
      <c r="C27" s="89">
        <v>4.0</v>
      </c>
      <c r="D27" s="89"/>
      <c r="E27" s="89">
        <v>2.0</v>
      </c>
      <c r="F27" s="89"/>
      <c r="G27" s="89"/>
      <c r="H27" s="89">
        <v>1.0</v>
      </c>
      <c r="I27" s="89"/>
      <c r="J27" s="89"/>
      <c r="K27" s="89"/>
      <c r="L27" s="91" t="s">
        <v>87</v>
      </c>
    </row>
    <row r="28" ht="15.75" customHeight="1">
      <c r="A28" s="89">
        <v>2013.0</v>
      </c>
      <c r="B28" s="90">
        <f t="shared" si="1"/>
        <v>7</v>
      </c>
      <c r="C28" s="89">
        <v>3.0</v>
      </c>
      <c r="D28" s="89">
        <v>1.0</v>
      </c>
      <c r="E28" s="89">
        <v>3.0</v>
      </c>
      <c r="F28" s="89"/>
      <c r="G28" s="89"/>
      <c r="H28" s="89"/>
      <c r="I28" s="89"/>
      <c r="J28" s="89"/>
      <c r="K28" s="89"/>
      <c r="L28" s="91" t="s">
        <v>87</v>
      </c>
    </row>
    <row r="29" ht="15.75" customHeight="1">
      <c r="A29" s="89">
        <v>2014.0</v>
      </c>
      <c r="B29" s="90">
        <f t="shared" si="1"/>
        <v>9</v>
      </c>
      <c r="C29" s="89">
        <v>3.0</v>
      </c>
      <c r="D29" s="89">
        <v>1.0</v>
      </c>
      <c r="E29" s="89">
        <v>3.0</v>
      </c>
      <c r="F29" s="89"/>
      <c r="G29" s="89"/>
      <c r="H29" s="89"/>
      <c r="I29" s="89">
        <v>2.0</v>
      </c>
      <c r="J29" s="89"/>
      <c r="K29" s="89"/>
      <c r="L29" s="91" t="s">
        <v>87</v>
      </c>
    </row>
    <row r="30" ht="15.75" customHeight="1">
      <c r="A30" s="89">
        <v>2015.0</v>
      </c>
      <c r="B30" s="90">
        <f t="shared" si="1"/>
        <v>6</v>
      </c>
      <c r="C30" s="89">
        <v>3.0</v>
      </c>
      <c r="D30" s="89">
        <v>1.0</v>
      </c>
      <c r="E30" s="89">
        <v>2.0</v>
      </c>
      <c r="F30" s="89"/>
      <c r="G30" s="89"/>
      <c r="H30" s="89"/>
      <c r="I30" s="89"/>
      <c r="J30" s="89"/>
      <c r="K30" s="89"/>
      <c r="L30" s="91"/>
    </row>
    <row r="31" ht="15.75" customHeight="1">
      <c r="A31" s="89">
        <v>2016.0</v>
      </c>
      <c r="B31" s="90">
        <f t="shared" si="1"/>
        <v>6</v>
      </c>
      <c r="C31" s="89">
        <v>3.0</v>
      </c>
      <c r="D31" s="89">
        <v>1.0</v>
      </c>
      <c r="E31" s="89">
        <v>2.0</v>
      </c>
      <c r="F31" s="89"/>
      <c r="G31" s="89"/>
      <c r="H31" s="89"/>
      <c r="I31" s="89"/>
      <c r="J31" s="89"/>
      <c r="K31" s="89"/>
      <c r="L31" s="91" t="s">
        <v>85</v>
      </c>
    </row>
    <row r="32" ht="15.75" customHeight="1">
      <c r="A32" s="89">
        <v>2017.0</v>
      </c>
      <c r="B32" s="90">
        <f t="shared" si="1"/>
        <v>7</v>
      </c>
      <c r="C32" s="89">
        <v>2.0</v>
      </c>
      <c r="D32" s="89">
        <v>2.0</v>
      </c>
      <c r="E32" s="89">
        <v>3.0</v>
      </c>
      <c r="F32" s="89"/>
      <c r="G32" s="89"/>
      <c r="H32" s="89"/>
      <c r="I32" s="89"/>
      <c r="J32" s="89"/>
      <c r="K32" s="89"/>
      <c r="L32" s="91" t="s">
        <v>88</v>
      </c>
    </row>
    <row r="33" ht="15.75" customHeight="1">
      <c r="A33" s="89">
        <v>2018.0</v>
      </c>
      <c r="B33" s="90">
        <f t="shared" si="1"/>
        <v>9</v>
      </c>
      <c r="C33" s="89">
        <v>4.0</v>
      </c>
      <c r="D33" s="89">
        <v>2.0</v>
      </c>
      <c r="E33" s="89">
        <v>2.0</v>
      </c>
      <c r="F33" s="89"/>
      <c r="G33" s="89">
        <v>1.0</v>
      </c>
      <c r="H33" s="89"/>
      <c r="I33" s="89"/>
      <c r="J33" s="89"/>
      <c r="K33" s="89"/>
      <c r="L33" s="91" t="s">
        <v>88</v>
      </c>
    </row>
    <row r="34" ht="15.75" customHeight="1">
      <c r="A34" s="89">
        <v>2019.0</v>
      </c>
      <c r="B34" s="90">
        <f t="shared" si="1"/>
        <v>13</v>
      </c>
      <c r="C34" s="89">
        <v>3.0</v>
      </c>
      <c r="D34" s="89">
        <v>4.0</v>
      </c>
      <c r="E34" s="89">
        <v>6.0</v>
      </c>
      <c r="F34" s="89"/>
      <c r="G34" s="89"/>
      <c r="H34" s="89"/>
      <c r="I34" s="89"/>
      <c r="J34" s="89"/>
      <c r="K34" s="89"/>
      <c r="L34" s="91"/>
    </row>
    <row r="35" ht="15.75" customHeight="1"/>
    <row r="36" ht="15.75" customHeight="1">
      <c r="A36" s="93" t="s">
        <v>89</v>
      </c>
    </row>
    <row r="37" ht="27.75" customHeight="1">
      <c r="A37" s="80" t="s">
        <v>90</v>
      </c>
      <c r="B37" s="80" t="s">
        <v>91</v>
      </c>
      <c r="C37" s="80" t="s">
        <v>92</v>
      </c>
      <c r="D37" s="80" t="s">
        <v>93</v>
      </c>
      <c r="E37" s="80" t="s">
        <v>94</v>
      </c>
    </row>
    <row r="38" ht="15.75" customHeight="1">
      <c r="A38" s="94" t="s">
        <v>73</v>
      </c>
      <c r="B38" s="90">
        <f>SUM(C5:C34)</f>
        <v>100</v>
      </c>
      <c r="C38" s="95">
        <f>IFERROR(AVERAGE(C5:C34),0)</f>
        <v>3.333333333</v>
      </c>
      <c r="D38" s="89">
        <f>COUNT(C5:C34)</f>
        <v>30</v>
      </c>
      <c r="E38" s="96">
        <f t="shared" ref="E38:E46" si="2">IFERROR((B38/$B$46),"")</f>
        <v>0.3571428571</v>
      </c>
    </row>
    <row r="39" ht="15.75" customHeight="1">
      <c r="A39" s="94" t="s">
        <v>74</v>
      </c>
      <c r="B39" s="90">
        <f>SUM(D5:D34)</f>
        <v>30</v>
      </c>
      <c r="C39" s="95">
        <f>IFERROR(AVERAGE(D5:D34),0)</f>
        <v>1.304347826</v>
      </c>
      <c r="D39" s="89">
        <f>COUNT(D5:D34)</f>
        <v>23</v>
      </c>
      <c r="E39" s="96">
        <f t="shared" si="2"/>
        <v>0.1071428571</v>
      </c>
    </row>
    <row r="40" ht="15.75" customHeight="1">
      <c r="A40" s="94" t="s">
        <v>75</v>
      </c>
      <c r="B40" s="90">
        <f>SUM(E5:E34)</f>
        <v>97</v>
      </c>
      <c r="C40" s="95">
        <f>IFERROR(AVERAGE(E5:E34),0)</f>
        <v>3.233333333</v>
      </c>
      <c r="D40" s="89">
        <f>COUNT(E5:E34)</f>
        <v>30</v>
      </c>
      <c r="E40" s="96">
        <f t="shared" si="2"/>
        <v>0.3464285714</v>
      </c>
    </row>
    <row r="41" ht="15.75" customHeight="1">
      <c r="A41" s="94" t="s">
        <v>77</v>
      </c>
      <c r="B41" s="90">
        <f>SUM(G5:G34)</f>
        <v>24</v>
      </c>
      <c r="C41" s="95">
        <f>IFERROR(AVERAGE(G5:G34),0)</f>
        <v>1.411764706</v>
      </c>
      <c r="D41" s="89">
        <f>COUNT(G5:G34)</f>
        <v>17</v>
      </c>
      <c r="E41" s="96">
        <f t="shared" si="2"/>
        <v>0.08571428571</v>
      </c>
    </row>
    <row r="42" ht="15.75" customHeight="1">
      <c r="A42" s="94" t="s">
        <v>78</v>
      </c>
      <c r="B42" s="90">
        <f>SUM(H5:H34)</f>
        <v>4</v>
      </c>
      <c r="C42" s="95">
        <f>IFERROR(AVERAGE(H5:H34),0)</f>
        <v>2</v>
      </c>
      <c r="D42" s="89">
        <f>COUNT(H5:H34)</f>
        <v>2</v>
      </c>
      <c r="E42" s="96">
        <f t="shared" si="2"/>
        <v>0.01428571429</v>
      </c>
    </row>
    <row r="43" ht="15.75" customHeight="1">
      <c r="A43" s="94" t="s">
        <v>79</v>
      </c>
      <c r="B43" s="90">
        <f>SUM(I5:I34)</f>
        <v>6</v>
      </c>
      <c r="C43" s="95">
        <f>IFERROR(AVERAGE(I5:I34),0)</f>
        <v>1.2</v>
      </c>
      <c r="D43" s="89">
        <f>COUNT(I5:I34)</f>
        <v>5</v>
      </c>
      <c r="E43" s="96">
        <f t="shared" si="2"/>
        <v>0.02142857143</v>
      </c>
    </row>
    <row r="44" ht="15.75" customHeight="1">
      <c r="A44" s="94" t="s">
        <v>80</v>
      </c>
      <c r="B44" s="90">
        <f>SUM(J5:J34)</f>
        <v>0</v>
      </c>
      <c r="C44" s="95">
        <f>IFERROR(AVERAGE(J5:J34),0)</f>
        <v>0</v>
      </c>
      <c r="D44" s="89">
        <f>COUNT(J5:J34)</f>
        <v>0</v>
      </c>
      <c r="E44" s="96">
        <f t="shared" si="2"/>
        <v>0</v>
      </c>
    </row>
    <row r="45" ht="15.75" customHeight="1">
      <c r="A45" s="94" t="s">
        <v>81</v>
      </c>
      <c r="B45" s="90">
        <f>SUM(K5:K34)</f>
        <v>19</v>
      </c>
      <c r="C45" s="95">
        <f>IFERROR(AVERAGE(K5:K34),0)</f>
        <v>1</v>
      </c>
      <c r="D45" s="89">
        <f>COUNT(K5:K34)</f>
        <v>19</v>
      </c>
      <c r="E45" s="96">
        <f t="shared" si="2"/>
        <v>0.06785714286</v>
      </c>
    </row>
    <row r="46" ht="15.75" customHeight="1">
      <c r="A46" s="97" t="s">
        <v>95</v>
      </c>
      <c r="B46" s="90">
        <f>SUM(B38:B45)</f>
        <v>280</v>
      </c>
      <c r="C46" s="98"/>
      <c r="D46" s="98"/>
      <c r="E46" s="96">
        <f t="shared" si="2"/>
        <v>1</v>
      </c>
    </row>
    <row r="47" ht="15.75" customHeight="1"/>
    <row r="48" ht="15.75" customHeight="1">
      <c r="A48" s="93" t="s">
        <v>96</v>
      </c>
    </row>
    <row r="49" ht="27.75" customHeight="1">
      <c r="A49" s="80" t="s">
        <v>90</v>
      </c>
      <c r="B49" s="80" t="s">
        <v>97</v>
      </c>
      <c r="C49" s="80" t="s">
        <v>98</v>
      </c>
      <c r="D49" s="80" t="s">
        <v>99</v>
      </c>
    </row>
    <row r="50" ht="15.75" customHeight="1">
      <c r="A50" s="94" t="s">
        <v>73</v>
      </c>
      <c r="B50" s="96">
        <f>IFERROR(SUM(C5:C14)/SUM($C5:$K14),0)</f>
        <v>0.3157894737</v>
      </c>
      <c r="C50" s="96">
        <f>IFERROR(SUM(C15:C24)/SUM($C15:$K24),0)</f>
        <v>0.3736263736</v>
      </c>
      <c r="D50" s="96">
        <f>IFERROR(SUM(C25:C34)/SUM($C25:$K34),0)</f>
        <v>0.4</v>
      </c>
    </row>
    <row r="51" ht="15.75" customHeight="1">
      <c r="A51" s="94" t="s">
        <v>74</v>
      </c>
      <c r="B51" s="96">
        <f>IFERROR(SUM(D5:D14)/SUM($C5:$K14),0)</f>
        <v>0.07894736842</v>
      </c>
      <c r="C51" s="96">
        <f>IFERROR(SUM(D15:D24)/SUM($C15:$K24),0)</f>
        <v>0.0989010989</v>
      </c>
      <c r="D51" s="96">
        <f>IFERROR(SUM(D25:D34)/SUM($C25:$K34),0)</f>
        <v>0.16</v>
      </c>
    </row>
    <row r="52" ht="15.75" customHeight="1">
      <c r="A52" s="94" t="s">
        <v>75</v>
      </c>
      <c r="B52" s="96">
        <f>IFERROR(SUM(E5:E14)/SUM($C5:$K14),0)</f>
        <v>0.350877193</v>
      </c>
      <c r="C52" s="96">
        <f>IFERROR(SUM(E15:E24)/SUM($C15:$K24),0)</f>
        <v>0.3076923077</v>
      </c>
      <c r="D52" s="96">
        <f>IFERROR(SUM(E25:E34)/SUM($C25:$K34),0)</f>
        <v>0.3866666667</v>
      </c>
    </row>
    <row r="53" ht="15.75" customHeight="1">
      <c r="A53" s="94" t="s">
        <v>76</v>
      </c>
      <c r="B53" s="96">
        <f>IFERROR(SUM(F5:F14)/SUM($C5:$K14),0)</f>
        <v>0</v>
      </c>
      <c r="C53" s="96">
        <f>IFERROR(SUM(F15:F24)/SUM($C15:$K24),0)</f>
        <v>0</v>
      </c>
      <c r="D53" s="96">
        <f>IFERROR(SUM(F25:F34)/SUM($C25:$K34),0)</f>
        <v>0</v>
      </c>
    </row>
    <row r="54" ht="15.75" customHeight="1">
      <c r="A54" s="94" t="s">
        <v>77</v>
      </c>
      <c r="B54" s="96">
        <f>IFERROR(SUM(G5:G14)/SUM($C5:$K14),0)</f>
        <v>0.1315789474</v>
      </c>
      <c r="C54" s="96">
        <f>IFERROR(SUM(G15:G24)/SUM($C15:$K24),0)</f>
        <v>0.08791208791</v>
      </c>
      <c r="D54" s="96">
        <f>IFERROR(SUM(G25:G34)/SUM($C25:$K34),0)</f>
        <v>0.01333333333</v>
      </c>
    </row>
    <row r="55" ht="15.75" customHeight="1">
      <c r="A55" s="94" t="s">
        <v>78</v>
      </c>
      <c r="B55" s="96">
        <f>IFERROR(SUM(H5:H14)/SUM($C5:$K14),0)</f>
        <v>0.02631578947</v>
      </c>
      <c r="C55" s="96">
        <f>IFERROR(SUM(H15:H24)/SUM($C15:$K24),0)</f>
        <v>0</v>
      </c>
      <c r="D55" s="96">
        <f>IFERROR(SUM(H25:H34)/SUM($C25:$K34),0)</f>
        <v>0.01333333333</v>
      </c>
    </row>
    <row r="56" ht="15.75" customHeight="1">
      <c r="A56" s="94" t="s">
        <v>79</v>
      </c>
      <c r="B56" s="96">
        <f>IFERROR(SUM(I5:I14)/SUM($C5:$K14),0)</f>
        <v>0.01754385965</v>
      </c>
      <c r="C56" s="96">
        <f>IFERROR(SUM(I15:I24)/SUM($C15:$K24),0)</f>
        <v>0.02197802198</v>
      </c>
      <c r="D56" s="96">
        <f>IFERROR(SUM(I25:I34)/SUM($C25:$K34),0)</f>
        <v>0.02666666667</v>
      </c>
    </row>
    <row r="57" ht="15.75" customHeight="1">
      <c r="A57" s="94" t="s">
        <v>80</v>
      </c>
      <c r="B57" s="96">
        <f>IFERROR(SUM(J5:J14)/SUM($C5:$K14),0)</f>
        <v>0</v>
      </c>
      <c r="C57" s="96">
        <f>IFERROR(SUM(J15:J24)/SUM($C15:$K24),0)</f>
        <v>0</v>
      </c>
      <c r="D57" s="96">
        <f>IFERROR(SUM(J25:J34)/SUM($C25:$K34),0)</f>
        <v>0</v>
      </c>
    </row>
    <row r="58" ht="15.75" customHeight="1">
      <c r="A58" s="94" t="s">
        <v>81</v>
      </c>
      <c r="B58" s="96">
        <f>IFERROR(SUM(K5:K14)/SUM($C5:$K14),0)</f>
        <v>0.07894736842</v>
      </c>
      <c r="C58" s="96">
        <f>IFERROR(SUM(K15:K24)/SUM($C15:$K24),0)</f>
        <v>0.1098901099</v>
      </c>
      <c r="D58" s="96">
        <f>IFERROR(SUM(K25:K34)/SUM($C25:$K34),0)</f>
        <v>0</v>
      </c>
    </row>
    <row r="59" ht="15.75" customHeight="1"/>
    <row r="60" ht="15.75" customHeight="1">
      <c r="A60" s="99" t="s">
        <v>100</v>
      </c>
    </row>
    <row r="61" ht="15.75" customHeight="1">
      <c r="A61" s="100"/>
    </row>
    <row r="62" ht="15.75" customHeight="1">
      <c r="A62" s="100" t="s">
        <v>101</v>
      </c>
    </row>
    <row r="63" ht="15.75" customHeight="1">
      <c r="A63" s="100" t="s">
        <v>102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M1"/>
    <mergeCell ref="A2:M2"/>
    <mergeCell ref="A60:L60"/>
    <mergeCell ref="A61:L61"/>
    <mergeCell ref="A62:L62"/>
    <mergeCell ref="A63:L6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10" width="15.0"/>
    <col customWidth="1" min="11" max="11" width="26.0"/>
    <col customWidth="1" min="12" max="12" width="4.0"/>
  </cols>
  <sheetData>
    <row r="1" ht="25.5" customHeight="1">
      <c r="A1" s="101" t="s">
        <v>103</v>
      </c>
    </row>
    <row r="2" ht="15.75" customHeight="1">
      <c r="A2" s="79" t="s">
        <v>104</v>
      </c>
    </row>
    <row r="4" ht="27.75" customHeight="1">
      <c r="A4" s="86" t="s">
        <v>11</v>
      </c>
      <c r="B4" s="86" t="s">
        <v>72</v>
      </c>
      <c r="C4" s="81" t="s">
        <v>73</v>
      </c>
      <c r="D4" s="82" t="s">
        <v>105</v>
      </c>
      <c r="E4" s="83" t="s">
        <v>75</v>
      </c>
      <c r="F4" s="84" t="s">
        <v>76</v>
      </c>
      <c r="G4" s="85" t="s">
        <v>77</v>
      </c>
      <c r="H4" s="80" t="s">
        <v>78</v>
      </c>
      <c r="I4" s="86" t="s">
        <v>79</v>
      </c>
      <c r="J4" s="87" t="s">
        <v>80</v>
      </c>
      <c r="K4" s="86" t="s">
        <v>82</v>
      </c>
      <c r="L4" s="86"/>
    </row>
    <row r="5">
      <c r="A5" s="89">
        <v>1990.0</v>
      </c>
      <c r="B5" s="90">
        <f t="shared" ref="B5:B34" si="1">SUM(C5:J5)</f>
        <v>13</v>
      </c>
      <c r="C5" s="89">
        <v>9.0</v>
      </c>
      <c r="D5" s="89">
        <v>4.0</v>
      </c>
      <c r="E5" s="89"/>
      <c r="F5" s="89"/>
      <c r="G5" s="89"/>
      <c r="H5" s="89"/>
      <c r="I5" s="89"/>
      <c r="J5" s="89"/>
      <c r="K5" s="91" t="s">
        <v>106</v>
      </c>
    </row>
    <row r="6">
      <c r="A6" s="89">
        <v>1991.0</v>
      </c>
      <c r="B6" s="90">
        <f t="shared" si="1"/>
        <v>18</v>
      </c>
      <c r="C6" s="89">
        <v>7.0</v>
      </c>
      <c r="D6" s="89">
        <v>10.0</v>
      </c>
      <c r="E6" s="89"/>
      <c r="F6" s="89"/>
      <c r="G6" s="89"/>
      <c r="H6" s="89">
        <v>1.0</v>
      </c>
      <c r="I6" s="89"/>
      <c r="J6" s="89"/>
      <c r="K6" s="91" t="s">
        <v>106</v>
      </c>
    </row>
    <row r="7">
      <c r="A7" s="89">
        <v>1992.0</v>
      </c>
      <c r="B7" s="90">
        <f t="shared" si="1"/>
        <v>24</v>
      </c>
      <c r="C7" s="89">
        <v>10.0</v>
      </c>
      <c r="D7" s="89">
        <v>14.0</v>
      </c>
      <c r="E7" s="89"/>
      <c r="F7" s="89"/>
      <c r="G7" s="89"/>
      <c r="H7" s="89"/>
      <c r="I7" s="89"/>
      <c r="J7" s="89"/>
      <c r="K7" s="91" t="s">
        <v>107</v>
      </c>
    </row>
    <row r="8">
      <c r="A8" s="89">
        <v>1993.0</v>
      </c>
      <c r="B8" s="90">
        <f t="shared" si="1"/>
        <v>20</v>
      </c>
      <c r="C8" s="89">
        <v>10.0</v>
      </c>
      <c r="D8" s="89">
        <v>8.0</v>
      </c>
      <c r="E8" s="89"/>
      <c r="F8" s="89"/>
      <c r="G8" s="89">
        <v>1.0</v>
      </c>
      <c r="H8" s="89">
        <v>1.0</v>
      </c>
      <c r="I8" s="89"/>
      <c r="J8" s="89"/>
      <c r="K8" s="91" t="s">
        <v>107</v>
      </c>
    </row>
    <row r="9">
      <c r="A9" s="89">
        <v>1994.0</v>
      </c>
      <c r="B9" s="90">
        <f t="shared" si="1"/>
        <v>26</v>
      </c>
      <c r="C9" s="89">
        <v>13.0</v>
      </c>
      <c r="D9" s="89">
        <v>12.0</v>
      </c>
      <c r="E9" s="89"/>
      <c r="F9" s="89"/>
      <c r="G9" s="89">
        <v>1.0</v>
      </c>
      <c r="H9" s="89"/>
      <c r="I9" s="89"/>
      <c r="J9" s="89"/>
      <c r="K9" s="91" t="s">
        <v>107</v>
      </c>
    </row>
    <row r="10">
      <c r="A10" s="89">
        <v>1995.0</v>
      </c>
      <c r="B10" s="90">
        <f t="shared" si="1"/>
        <v>19</v>
      </c>
      <c r="C10" s="89">
        <v>6.0</v>
      </c>
      <c r="D10" s="89">
        <v>12.0</v>
      </c>
      <c r="E10" s="89"/>
      <c r="F10" s="89"/>
      <c r="G10" s="89"/>
      <c r="H10" s="89"/>
      <c r="I10" s="89"/>
      <c r="J10" s="89">
        <v>1.0</v>
      </c>
      <c r="K10" s="91" t="s">
        <v>108</v>
      </c>
    </row>
    <row r="11">
      <c r="A11" s="89">
        <v>1996.0</v>
      </c>
      <c r="B11" s="90">
        <f t="shared" si="1"/>
        <v>19</v>
      </c>
      <c r="C11" s="89">
        <v>13.0</v>
      </c>
      <c r="D11" s="89">
        <v>6.0</v>
      </c>
      <c r="E11" s="89"/>
      <c r="F11" s="89"/>
      <c r="G11" s="89"/>
      <c r="H11" s="89"/>
      <c r="I11" s="89"/>
      <c r="J11" s="89"/>
      <c r="K11" s="91" t="s">
        <v>109</v>
      </c>
    </row>
    <row r="12">
      <c r="A12" s="89">
        <v>1997.0</v>
      </c>
      <c r="B12" s="90">
        <f t="shared" si="1"/>
        <v>18</v>
      </c>
      <c r="C12" s="89">
        <v>8.0</v>
      </c>
      <c r="D12" s="89">
        <v>10.0</v>
      </c>
      <c r="E12" s="89"/>
      <c r="F12" s="89"/>
      <c r="G12" s="89"/>
      <c r="H12" s="89"/>
      <c r="I12" s="89"/>
      <c r="J12" s="89"/>
      <c r="K12" s="91" t="s">
        <v>109</v>
      </c>
    </row>
    <row r="13">
      <c r="A13" s="89">
        <v>1998.0</v>
      </c>
      <c r="B13" s="90">
        <f t="shared" si="1"/>
        <v>13</v>
      </c>
      <c r="C13" s="89">
        <v>10.0</v>
      </c>
      <c r="D13" s="89">
        <v>3.0</v>
      </c>
      <c r="E13" s="89"/>
      <c r="F13" s="89"/>
      <c r="G13" s="89"/>
      <c r="H13" s="89"/>
      <c r="I13" s="89"/>
      <c r="J13" s="89"/>
      <c r="K13" s="91" t="s">
        <v>109</v>
      </c>
    </row>
    <row r="14">
      <c r="A14" s="89">
        <v>1999.0</v>
      </c>
      <c r="B14" s="90">
        <f t="shared" si="1"/>
        <v>14</v>
      </c>
      <c r="C14" s="89">
        <v>11.0</v>
      </c>
      <c r="D14" s="89">
        <v>3.0</v>
      </c>
      <c r="E14" s="89"/>
      <c r="F14" s="89"/>
      <c r="G14" s="89"/>
      <c r="H14" s="89"/>
      <c r="I14" s="89"/>
      <c r="J14" s="89"/>
      <c r="K14" s="91" t="s">
        <v>109</v>
      </c>
    </row>
    <row r="15">
      <c r="A15" s="89">
        <v>2000.0</v>
      </c>
      <c r="B15" s="90">
        <f t="shared" si="1"/>
        <v>23</v>
      </c>
      <c r="C15" s="89">
        <v>10.0</v>
      </c>
      <c r="D15" s="89">
        <v>12.0</v>
      </c>
      <c r="E15" s="89"/>
      <c r="F15" s="89"/>
      <c r="G15" s="89"/>
      <c r="H15" s="89"/>
      <c r="I15" s="89"/>
      <c r="J15" s="89">
        <v>1.0</v>
      </c>
      <c r="K15" s="91" t="s">
        <v>109</v>
      </c>
    </row>
    <row r="16">
      <c r="A16" s="89">
        <v>2001.0</v>
      </c>
      <c r="B16" s="90">
        <f t="shared" si="1"/>
        <v>19</v>
      </c>
      <c r="C16" s="89">
        <v>14.0</v>
      </c>
      <c r="D16" s="89">
        <v>5.0</v>
      </c>
      <c r="E16" s="89"/>
      <c r="F16" s="89"/>
      <c r="G16" s="89"/>
      <c r="H16" s="89"/>
      <c r="I16" s="89"/>
      <c r="J16" s="89"/>
      <c r="K16" s="91" t="s">
        <v>109</v>
      </c>
    </row>
    <row r="17">
      <c r="A17" s="89">
        <v>2002.0</v>
      </c>
      <c r="B17" s="90">
        <f t="shared" si="1"/>
        <v>24</v>
      </c>
      <c r="C17" s="89">
        <v>7.0</v>
      </c>
      <c r="D17" s="89">
        <v>13.0</v>
      </c>
      <c r="E17" s="89"/>
      <c r="F17" s="89"/>
      <c r="G17" s="89">
        <v>3.0</v>
      </c>
      <c r="H17" s="89"/>
      <c r="I17" s="89">
        <v>1.0</v>
      </c>
      <c r="J17" s="89"/>
      <c r="K17" s="91" t="s">
        <v>109</v>
      </c>
    </row>
    <row r="18">
      <c r="A18" s="89">
        <v>2003.0</v>
      </c>
      <c r="B18" s="90">
        <f t="shared" si="1"/>
        <v>13</v>
      </c>
      <c r="C18" s="89">
        <v>5.0</v>
      </c>
      <c r="D18" s="89">
        <v>5.0</v>
      </c>
      <c r="E18" s="89"/>
      <c r="F18" s="89"/>
      <c r="G18" s="89">
        <v>2.0</v>
      </c>
      <c r="H18" s="89"/>
      <c r="I18" s="89"/>
      <c r="J18" s="89">
        <v>1.0</v>
      </c>
      <c r="K18" s="91" t="s">
        <v>109</v>
      </c>
    </row>
    <row r="19">
      <c r="A19" s="89">
        <v>2004.0</v>
      </c>
      <c r="B19" s="90">
        <f t="shared" si="1"/>
        <v>12</v>
      </c>
      <c r="C19" s="89">
        <v>8.0</v>
      </c>
      <c r="D19" s="89">
        <v>3.0</v>
      </c>
      <c r="E19" s="89"/>
      <c r="F19" s="89"/>
      <c r="G19" s="89">
        <v>1.0</v>
      </c>
      <c r="H19" s="89"/>
      <c r="I19" s="89"/>
      <c r="J19" s="89"/>
      <c r="K19" s="91" t="s">
        <v>109</v>
      </c>
    </row>
    <row r="20">
      <c r="A20" s="89">
        <v>2005.0</v>
      </c>
      <c r="B20" s="90">
        <f t="shared" si="1"/>
        <v>19</v>
      </c>
      <c r="C20" s="89">
        <v>9.0</v>
      </c>
      <c r="D20" s="89">
        <v>8.0</v>
      </c>
      <c r="E20" s="89"/>
      <c r="F20" s="89"/>
      <c r="G20" s="89"/>
      <c r="H20" s="89"/>
      <c r="I20" s="89"/>
      <c r="J20" s="89">
        <v>2.0</v>
      </c>
      <c r="K20" s="91" t="s">
        <v>109</v>
      </c>
    </row>
    <row r="21" ht="15.75" customHeight="1">
      <c r="A21" s="89">
        <v>2006.0</v>
      </c>
      <c r="B21" s="90">
        <f t="shared" si="1"/>
        <v>15</v>
      </c>
      <c r="C21" s="89">
        <v>7.0</v>
      </c>
      <c r="D21" s="89">
        <v>4.0</v>
      </c>
      <c r="E21" s="89"/>
      <c r="F21" s="89"/>
      <c r="G21" s="89"/>
      <c r="H21" s="89"/>
      <c r="I21" s="89"/>
      <c r="J21" s="89">
        <v>4.0</v>
      </c>
      <c r="K21" s="91" t="s">
        <v>110</v>
      </c>
    </row>
    <row r="22" ht="15.75" customHeight="1">
      <c r="A22" s="89">
        <v>2007.0</v>
      </c>
      <c r="B22" s="90">
        <f t="shared" si="1"/>
        <v>16</v>
      </c>
      <c r="C22" s="89">
        <v>6.0</v>
      </c>
      <c r="D22" s="89">
        <v>6.0</v>
      </c>
      <c r="E22" s="89"/>
      <c r="F22" s="89"/>
      <c r="G22" s="89"/>
      <c r="H22" s="89"/>
      <c r="I22" s="89"/>
      <c r="J22" s="89">
        <v>4.0</v>
      </c>
      <c r="K22" s="91" t="s">
        <v>110</v>
      </c>
    </row>
    <row r="23" ht="15.75" customHeight="1">
      <c r="A23" s="89">
        <v>2008.0</v>
      </c>
      <c r="B23" s="90">
        <f t="shared" si="1"/>
        <v>11</v>
      </c>
      <c r="C23" s="89">
        <v>5.0</v>
      </c>
      <c r="D23" s="89">
        <v>4.0</v>
      </c>
      <c r="E23" s="89"/>
      <c r="F23" s="89"/>
      <c r="G23" s="89"/>
      <c r="H23" s="89"/>
      <c r="I23" s="89"/>
      <c r="J23" s="89">
        <v>2.0</v>
      </c>
      <c r="K23" s="91" t="s">
        <v>110</v>
      </c>
    </row>
    <row r="24" ht="15.75" customHeight="1">
      <c r="A24" s="89">
        <v>2009.0</v>
      </c>
      <c r="B24" s="90">
        <f t="shared" si="1"/>
        <v>15</v>
      </c>
      <c r="C24" s="89">
        <v>5.0</v>
      </c>
      <c r="D24" s="89">
        <v>6.0</v>
      </c>
      <c r="E24" s="89"/>
      <c r="F24" s="89"/>
      <c r="G24" s="89">
        <v>1.0</v>
      </c>
      <c r="H24" s="89"/>
      <c r="I24" s="89"/>
      <c r="J24" s="89">
        <v>3.0</v>
      </c>
      <c r="K24" s="91" t="s">
        <v>110</v>
      </c>
    </row>
    <row r="25" ht="15.75" customHeight="1">
      <c r="A25" s="89">
        <v>2010.0</v>
      </c>
      <c r="B25" s="90">
        <f t="shared" si="1"/>
        <v>19</v>
      </c>
      <c r="C25" s="89">
        <v>8.0</v>
      </c>
      <c r="D25" s="89">
        <v>7.0</v>
      </c>
      <c r="E25" s="89"/>
      <c r="F25" s="89"/>
      <c r="G25" s="89">
        <v>2.0</v>
      </c>
      <c r="H25" s="89"/>
      <c r="I25" s="89"/>
      <c r="J25" s="89">
        <v>2.0</v>
      </c>
      <c r="K25" s="91" t="s">
        <v>110</v>
      </c>
    </row>
    <row r="26" ht="15.75" customHeight="1">
      <c r="A26" s="89">
        <v>2011.0</v>
      </c>
      <c r="B26" s="90">
        <f t="shared" si="1"/>
        <v>14</v>
      </c>
      <c r="C26" s="89">
        <v>5.0</v>
      </c>
      <c r="D26" s="89">
        <v>6.0</v>
      </c>
      <c r="E26" s="89"/>
      <c r="F26" s="89"/>
      <c r="G26" s="89"/>
      <c r="H26" s="89"/>
      <c r="I26" s="89"/>
      <c r="J26" s="89">
        <v>3.0</v>
      </c>
      <c r="K26" s="91" t="s">
        <v>110</v>
      </c>
    </row>
    <row r="27" ht="15.75" customHeight="1">
      <c r="A27" s="89">
        <v>2012.0</v>
      </c>
      <c r="B27" s="90">
        <f t="shared" si="1"/>
        <v>15</v>
      </c>
      <c r="C27" s="89">
        <v>4.0</v>
      </c>
      <c r="D27" s="89">
        <v>8.0</v>
      </c>
      <c r="E27" s="89"/>
      <c r="F27" s="89"/>
      <c r="G27" s="89">
        <v>1.0</v>
      </c>
      <c r="H27" s="89"/>
      <c r="I27" s="89"/>
      <c r="J27" s="89">
        <v>2.0</v>
      </c>
      <c r="K27" s="91" t="s">
        <v>110</v>
      </c>
    </row>
    <row r="28" ht="15.75" customHeight="1">
      <c r="A28" s="89">
        <v>2013.0</v>
      </c>
      <c r="B28" s="90">
        <f t="shared" si="1"/>
        <v>14</v>
      </c>
      <c r="C28" s="89">
        <v>6.0</v>
      </c>
      <c r="D28" s="89">
        <v>5.0</v>
      </c>
      <c r="E28" s="89"/>
      <c r="F28" s="89"/>
      <c r="G28" s="89">
        <v>1.0</v>
      </c>
      <c r="H28" s="89"/>
      <c r="I28" s="89"/>
      <c r="J28" s="89">
        <v>2.0</v>
      </c>
      <c r="K28" s="91" t="s">
        <v>110</v>
      </c>
    </row>
    <row r="29" ht="15.75" customHeight="1">
      <c r="A29" s="89">
        <v>2014.0</v>
      </c>
      <c r="B29" s="90">
        <f t="shared" si="1"/>
        <v>11</v>
      </c>
      <c r="C29" s="89">
        <v>4.0</v>
      </c>
      <c r="D29" s="89">
        <v>5.0</v>
      </c>
      <c r="E29" s="89"/>
      <c r="F29" s="89"/>
      <c r="G29" s="89"/>
      <c r="H29" s="89"/>
      <c r="I29" s="89"/>
      <c r="J29" s="89">
        <v>2.0</v>
      </c>
      <c r="K29" s="91" t="s">
        <v>110</v>
      </c>
    </row>
    <row r="30" ht="15.75" customHeight="1">
      <c r="A30" s="89">
        <v>2015.0</v>
      </c>
      <c r="B30" s="90">
        <f t="shared" si="1"/>
        <v>17</v>
      </c>
      <c r="C30" s="89">
        <v>7.0</v>
      </c>
      <c r="D30" s="89">
        <v>7.0</v>
      </c>
      <c r="E30" s="89"/>
      <c r="F30" s="89"/>
      <c r="G30" s="89">
        <v>1.0</v>
      </c>
      <c r="H30" s="89"/>
      <c r="I30" s="89"/>
      <c r="J30" s="89">
        <v>2.0</v>
      </c>
      <c r="K30" s="91" t="s">
        <v>110</v>
      </c>
    </row>
    <row r="31" ht="15.75" customHeight="1">
      <c r="A31" s="89">
        <v>2016.0</v>
      </c>
      <c r="B31" s="90">
        <f t="shared" si="1"/>
        <v>25</v>
      </c>
      <c r="C31" s="89">
        <v>8.0</v>
      </c>
      <c r="D31" s="89">
        <v>10.0</v>
      </c>
      <c r="E31" s="89"/>
      <c r="F31" s="89"/>
      <c r="G31" s="89">
        <v>5.0</v>
      </c>
      <c r="H31" s="89"/>
      <c r="I31" s="89"/>
      <c r="J31" s="89">
        <v>2.0</v>
      </c>
      <c r="K31" s="91" t="s">
        <v>110</v>
      </c>
    </row>
    <row r="32" ht="15.75" customHeight="1">
      <c r="A32" s="89">
        <v>2017.0</v>
      </c>
      <c r="B32" s="90">
        <f t="shared" si="1"/>
        <v>21</v>
      </c>
      <c r="C32" s="89">
        <v>7.0</v>
      </c>
      <c r="D32" s="89">
        <v>11.0</v>
      </c>
      <c r="E32" s="89"/>
      <c r="F32" s="89"/>
      <c r="G32" s="89">
        <v>1.0</v>
      </c>
      <c r="H32" s="89"/>
      <c r="I32" s="89"/>
      <c r="J32" s="89">
        <v>2.0</v>
      </c>
      <c r="K32" s="91" t="s">
        <v>110</v>
      </c>
    </row>
    <row r="33" ht="15.75" customHeight="1">
      <c r="A33" s="89">
        <v>2018.0</v>
      </c>
      <c r="B33" s="90">
        <f t="shared" si="1"/>
        <v>15</v>
      </c>
      <c r="C33" s="89">
        <v>4.0</v>
      </c>
      <c r="D33" s="89">
        <v>9.0</v>
      </c>
      <c r="E33" s="89"/>
      <c r="F33" s="89"/>
      <c r="G33" s="89"/>
      <c r="H33" s="89"/>
      <c r="I33" s="89"/>
      <c r="J33" s="89">
        <v>2.0</v>
      </c>
      <c r="K33" s="91" t="s">
        <v>110</v>
      </c>
    </row>
    <row r="34" ht="15.75" customHeight="1">
      <c r="A34" s="89">
        <v>2019.0</v>
      </c>
      <c r="B34" s="90">
        <f t="shared" si="1"/>
        <v>18</v>
      </c>
      <c r="C34" s="89">
        <v>7.0</v>
      </c>
      <c r="D34" s="89">
        <v>8.0</v>
      </c>
      <c r="E34" s="89">
        <v>1.0</v>
      </c>
      <c r="F34" s="89"/>
      <c r="G34" s="89"/>
      <c r="H34" s="89"/>
      <c r="I34" s="89"/>
      <c r="J34" s="89">
        <v>2.0</v>
      </c>
      <c r="K34" s="91" t="s">
        <v>110</v>
      </c>
    </row>
    <row r="35" ht="15.75" customHeight="1">
      <c r="A35" s="102" t="s">
        <v>111</v>
      </c>
    </row>
    <row r="36" ht="15.75" customHeight="1">
      <c r="A36" s="93" t="s">
        <v>89</v>
      </c>
    </row>
    <row r="37" ht="27.75" customHeight="1">
      <c r="A37" s="86" t="s">
        <v>90</v>
      </c>
      <c r="B37" s="86" t="s">
        <v>91</v>
      </c>
      <c r="C37" s="86" t="s">
        <v>92</v>
      </c>
      <c r="D37" s="86" t="s">
        <v>93</v>
      </c>
      <c r="E37" s="86" t="s">
        <v>94</v>
      </c>
    </row>
    <row r="38" ht="15.75" customHeight="1">
      <c r="A38" s="94" t="s">
        <v>73</v>
      </c>
      <c r="B38" s="90">
        <f>SUM(C5:C34)</f>
        <v>233</v>
      </c>
      <c r="C38" s="95">
        <f>IFERROR(AVERAGE(C5:C34),0)</f>
        <v>7.766666667</v>
      </c>
      <c r="D38" s="89">
        <f>COUNT(C5:C34)</f>
        <v>30</v>
      </c>
      <c r="E38" s="96">
        <f t="shared" ref="E38:E44" si="2">IFERROR((B38/$B$44),"")</f>
        <v>0.4498069498</v>
      </c>
    </row>
    <row r="39" ht="15.75" customHeight="1">
      <c r="A39" s="94" t="s">
        <v>74</v>
      </c>
      <c r="B39" s="90">
        <f>SUM(D5:D34)</f>
        <v>224</v>
      </c>
      <c r="C39" s="95">
        <f>IFERROR(AVERAGE(D5:D34),0)</f>
        <v>7.466666667</v>
      </c>
      <c r="D39" s="89">
        <f>COUNT(D5:D34)</f>
        <v>30</v>
      </c>
      <c r="E39" s="96">
        <f t="shared" si="2"/>
        <v>0.4324324324</v>
      </c>
    </row>
    <row r="40" ht="15.75" customHeight="1">
      <c r="A40" s="94" t="s">
        <v>75</v>
      </c>
      <c r="B40" s="90">
        <f>SUM(E5:E34)</f>
        <v>1</v>
      </c>
      <c r="C40" s="95">
        <f>IFERROR(AVERAGE(E5:E34),0)</f>
        <v>1</v>
      </c>
      <c r="D40" s="89">
        <f>COUNT(E5:E34)</f>
        <v>1</v>
      </c>
      <c r="E40" s="96">
        <f t="shared" si="2"/>
        <v>0.001930501931</v>
      </c>
    </row>
    <row r="41" ht="15.75" customHeight="1">
      <c r="A41" s="94" t="s">
        <v>77</v>
      </c>
      <c r="B41" s="90">
        <f>SUM(G5:G34)</f>
        <v>20</v>
      </c>
      <c r="C41" s="95">
        <f>IFERROR(AVERAGE(G5:G34),0)</f>
        <v>1.666666667</v>
      </c>
      <c r="D41" s="89">
        <f>COUNT(G5:G34)</f>
        <v>12</v>
      </c>
      <c r="E41" s="96">
        <f t="shared" si="2"/>
        <v>0.03861003861</v>
      </c>
    </row>
    <row r="42" ht="15.75" customHeight="1">
      <c r="A42" s="94" t="s">
        <v>79</v>
      </c>
      <c r="B42" s="90">
        <f>SUM(I5:I34)</f>
        <v>1</v>
      </c>
      <c r="C42" s="95">
        <f>IFERROR(AVERAGE(I5:I34),0)</f>
        <v>1</v>
      </c>
      <c r="D42" s="89">
        <f>COUNT(I5:I34)</f>
        <v>1</v>
      </c>
      <c r="E42" s="96">
        <f t="shared" si="2"/>
        <v>0.001930501931</v>
      </c>
    </row>
    <row r="43" ht="15.75" customHeight="1">
      <c r="A43" s="94" t="s">
        <v>80</v>
      </c>
      <c r="B43" s="90">
        <f>SUM(J5:J34)</f>
        <v>39</v>
      </c>
      <c r="C43" s="95">
        <f>IFERROR(AVERAGE(J5:J34),0)</f>
        <v>2.166666667</v>
      </c>
      <c r="D43" s="89">
        <f>COUNT(J5:J34)</f>
        <v>18</v>
      </c>
      <c r="E43" s="96">
        <f t="shared" si="2"/>
        <v>0.07528957529</v>
      </c>
    </row>
    <row r="44" ht="15.75" customHeight="1">
      <c r="A44" s="97" t="s">
        <v>95</v>
      </c>
      <c r="B44" s="90">
        <f>SUM(B38:B43)</f>
        <v>518</v>
      </c>
      <c r="C44" s="98"/>
      <c r="D44" s="98"/>
      <c r="E44" s="96">
        <f t="shared" si="2"/>
        <v>1</v>
      </c>
    </row>
    <row r="45" ht="15.75" customHeight="1"/>
    <row r="46" ht="15.75" customHeight="1">
      <c r="A46" s="93" t="s">
        <v>96</v>
      </c>
    </row>
    <row r="47" ht="27.75" customHeight="1">
      <c r="A47" s="86" t="s">
        <v>90</v>
      </c>
      <c r="B47" s="86" t="s">
        <v>97</v>
      </c>
      <c r="C47" s="86" t="s">
        <v>98</v>
      </c>
      <c r="D47" s="86" t="s">
        <v>99</v>
      </c>
    </row>
    <row r="48" ht="15.75" customHeight="1">
      <c r="A48" s="94" t="s">
        <v>73</v>
      </c>
      <c r="B48" s="96">
        <f>IFERROR(SUM(C5:C14)/SUM($C5:$J14),0)</f>
        <v>0.527173913</v>
      </c>
      <c r="C48" s="96">
        <f>IFERROR(SUM(C15:C24)/SUM($C15:$J24),0)</f>
        <v>0.4550898204</v>
      </c>
      <c r="D48" s="96">
        <f>IFERROR(SUM(C25:C34)/SUM($C25:$J34),0)</f>
        <v>0.3550295858</v>
      </c>
    </row>
    <row r="49" ht="15.75" customHeight="1">
      <c r="A49" s="94" t="s">
        <v>74</v>
      </c>
      <c r="B49" s="96">
        <f>IFERROR(SUM(D5:D14)/SUM($C5:$J14),0)</f>
        <v>0.4456521739</v>
      </c>
      <c r="C49" s="96">
        <f>IFERROR(SUM(D15:D24)/SUM($C15:$J24),0)</f>
        <v>0.3952095808</v>
      </c>
      <c r="D49" s="96">
        <f>IFERROR(SUM(D25:D34)/SUM($C25:$J34),0)</f>
        <v>0.449704142</v>
      </c>
    </row>
    <row r="50" ht="15.75" customHeight="1">
      <c r="A50" s="94" t="s">
        <v>75</v>
      </c>
      <c r="B50" s="96">
        <f>IFERROR(SUM(E5:E14)/SUM($C5:$J14),0)</f>
        <v>0</v>
      </c>
      <c r="C50" s="96">
        <f>IFERROR(SUM(E15:E24)/SUM($C15:$J24),0)</f>
        <v>0</v>
      </c>
      <c r="D50" s="96">
        <f>IFERROR(SUM(E25:E34)/SUM($C25:$J34),0)</f>
        <v>0.005917159763</v>
      </c>
    </row>
    <row r="51" ht="15.75" customHeight="1">
      <c r="A51" s="94" t="s">
        <v>77</v>
      </c>
      <c r="B51" s="96">
        <f>IFERROR(SUM(G5:G14)/SUM($C5:$J14),0)</f>
        <v>0.01086956522</v>
      </c>
      <c r="C51" s="96">
        <f>IFERROR(SUM(G15:G24)/SUM($C15:$J24),0)</f>
        <v>0.04191616766</v>
      </c>
      <c r="D51" s="96">
        <f>IFERROR(SUM(G25:G34)/SUM($C25:$J34),0)</f>
        <v>0.0650887574</v>
      </c>
    </row>
    <row r="52" ht="15.75" customHeight="1">
      <c r="A52" s="94" t="s">
        <v>78</v>
      </c>
      <c r="B52" s="96">
        <f>IFERROR(SUM(H5:H14)/SUM($C5:$J14),0)</f>
        <v>0.01086956522</v>
      </c>
      <c r="C52" s="96">
        <f>IFERROR(SUM(H15:H24)/SUM($C15:$J24),0)</f>
        <v>0</v>
      </c>
      <c r="D52" s="96">
        <f>IFERROR(SUM(H25:H34)/SUM($C25:$J34),0)</f>
        <v>0</v>
      </c>
    </row>
    <row r="53" ht="15.75" customHeight="1">
      <c r="A53" s="94" t="s">
        <v>79</v>
      </c>
      <c r="B53" s="96">
        <f>IFERROR(SUM(I5:I14)/SUM($C5:$J14),0)</f>
        <v>0</v>
      </c>
      <c r="C53" s="96">
        <f>IFERROR(SUM(I15:I24)/SUM($C15:$J24),0)</f>
        <v>0.005988023952</v>
      </c>
      <c r="D53" s="96">
        <f>IFERROR(SUM(I25:I34)/SUM($C25:$J34),0)</f>
        <v>0</v>
      </c>
    </row>
    <row r="54" ht="15.75" customHeight="1">
      <c r="A54" s="94" t="s">
        <v>80</v>
      </c>
      <c r="B54" s="96">
        <f>IFERROR(SUM(J5:J14)/SUM($C5:$J14),0)</f>
        <v>0.005434782609</v>
      </c>
      <c r="C54" s="96">
        <f>IFERROR(SUM(J15:J24)/SUM($C15:$J24),0)</f>
        <v>0.1017964072</v>
      </c>
      <c r="D54" s="96">
        <f>IFERROR(SUM(J25:J34)/SUM($C25:$J34),0)</f>
        <v>0.124260355</v>
      </c>
    </row>
    <row r="55" ht="15.75" customHeight="1"/>
    <row r="56" ht="15.75" customHeight="1">
      <c r="A56" s="103"/>
    </row>
    <row r="57" ht="15.75" customHeight="1">
      <c r="A57" s="100"/>
    </row>
    <row r="58" ht="15.75" customHeight="1">
      <c r="A58" s="100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L1"/>
    <mergeCell ref="A2:L2"/>
    <mergeCell ref="A56:K56"/>
    <mergeCell ref="A57:K57"/>
    <mergeCell ref="A58:K58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8.0"/>
    <col customWidth="1" min="3" max="3" width="14.0"/>
    <col customWidth="1" min="4" max="4" width="16.0"/>
    <col customWidth="1" min="5" max="5" width="55.0"/>
    <col customWidth="1" min="6" max="25" width="8.43"/>
  </cols>
  <sheetData>
    <row r="1" ht="25.5" customHeight="1">
      <c r="A1" s="39" t="s">
        <v>112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113</v>
      </c>
      <c r="B2" s="6"/>
      <c r="C2" s="6"/>
      <c r="D2" s="6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7"/>
      <c r="B3" s="18"/>
      <c r="C3" s="18"/>
      <c r="D3" s="18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0" t="s">
        <v>114</v>
      </c>
      <c r="B4" s="40" t="s">
        <v>11</v>
      </c>
      <c r="C4" s="40" t="s">
        <v>115</v>
      </c>
      <c r="D4" s="40" t="s">
        <v>116</v>
      </c>
      <c r="E4" s="40" t="s">
        <v>117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04" t="s">
        <v>62</v>
      </c>
      <c r="B5" s="21">
        <v>1992.0</v>
      </c>
      <c r="C5" s="24">
        <v>200.0</v>
      </c>
      <c r="D5" s="105" t="s">
        <v>118</v>
      </c>
      <c r="E5" s="106" t="s">
        <v>119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04" t="s">
        <v>62</v>
      </c>
      <c r="B6" s="21">
        <v>1994.0</v>
      </c>
      <c r="C6" s="24">
        <v>400.0</v>
      </c>
      <c r="D6" s="105" t="s">
        <v>118</v>
      </c>
      <c r="E6" s="106" t="s">
        <v>120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04" t="s">
        <v>62</v>
      </c>
      <c r="B7" s="21">
        <v>1994.0</v>
      </c>
      <c r="C7" s="24">
        <v>500.0</v>
      </c>
      <c r="D7" s="105" t="s">
        <v>118</v>
      </c>
      <c r="E7" s="106" t="s">
        <v>119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04" t="s">
        <v>62</v>
      </c>
      <c r="B8" s="21">
        <v>1996.0</v>
      </c>
      <c r="C8" s="24">
        <v>40.0</v>
      </c>
      <c r="D8" s="107" t="s">
        <v>121</v>
      </c>
      <c r="E8" s="106" t="s">
        <v>122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04" t="s">
        <v>62</v>
      </c>
      <c r="B9" s="21">
        <v>2000.0</v>
      </c>
      <c r="C9" s="24">
        <v>10000.0</v>
      </c>
      <c r="D9" s="105" t="s">
        <v>118</v>
      </c>
      <c r="E9" s="106" t="s">
        <v>123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04" t="s">
        <v>62</v>
      </c>
      <c r="B10" s="21">
        <v>2001.0</v>
      </c>
      <c r="C10" s="24">
        <v>350.0</v>
      </c>
      <c r="D10" s="105" t="s">
        <v>118</v>
      </c>
      <c r="E10" s="106" t="s">
        <v>120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04" t="s">
        <v>62</v>
      </c>
      <c r="B11" s="21">
        <v>2001.0</v>
      </c>
      <c r="C11" s="24">
        <v>600.0</v>
      </c>
      <c r="D11" s="105" t="s">
        <v>118</v>
      </c>
      <c r="E11" s="106" t="s">
        <v>124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04" t="s">
        <v>62</v>
      </c>
      <c r="B12" s="21">
        <v>2002.0</v>
      </c>
      <c r="C12" s="24">
        <v>1000.0</v>
      </c>
      <c r="D12" s="105" t="s">
        <v>118</v>
      </c>
      <c r="E12" s="106" t="s">
        <v>120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04" t="s">
        <v>62</v>
      </c>
      <c r="B13" s="21">
        <v>2003.0</v>
      </c>
      <c r="C13" s="24">
        <v>200.0</v>
      </c>
      <c r="D13" s="105" t="s">
        <v>118</v>
      </c>
      <c r="E13" s="106" t="s">
        <v>125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04" t="s">
        <v>62</v>
      </c>
      <c r="B14" s="21">
        <v>2003.0</v>
      </c>
      <c r="C14" s="24">
        <v>300.0</v>
      </c>
      <c r="D14" s="105" t="s">
        <v>118</v>
      </c>
      <c r="E14" s="106" t="s">
        <v>120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04" t="s">
        <v>62</v>
      </c>
      <c r="B15" s="21">
        <v>2004.0</v>
      </c>
      <c r="C15" s="24">
        <v>2300.0</v>
      </c>
      <c r="D15" s="105" t="s">
        <v>118</v>
      </c>
      <c r="E15" s="106" t="s">
        <v>125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04" t="s">
        <v>62</v>
      </c>
      <c r="B16" s="21">
        <v>2004.0</v>
      </c>
      <c r="C16" s="24">
        <v>4500.0</v>
      </c>
      <c r="D16" s="105" t="s">
        <v>118</v>
      </c>
      <c r="E16" s="106" t="s">
        <v>126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04" t="s">
        <v>62</v>
      </c>
      <c r="B17" s="21">
        <v>2009.0</v>
      </c>
      <c r="C17" s="24">
        <v>3500.0</v>
      </c>
      <c r="D17" s="108" t="s">
        <v>127</v>
      </c>
      <c r="E17" s="106" t="s">
        <v>128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04" t="s">
        <v>62</v>
      </c>
      <c r="B18" s="21">
        <v>2010.0</v>
      </c>
      <c r="C18" s="24">
        <v>10000.0</v>
      </c>
      <c r="D18" s="105" t="s">
        <v>118</v>
      </c>
      <c r="E18" s="106" t="s">
        <v>120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04" t="s">
        <v>62</v>
      </c>
      <c r="B19" s="21">
        <v>2013.0</v>
      </c>
      <c r="C19" s="24">
        <v>2000.0</v>
      </c>
      <c r="D19" s="105" t="s">
        <v>118</v>
      </c>
      <c r="E19" s="106" t="s">
        <v>123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104" t="s">
        <v>62</v>
      </c>
      <c r="B20" s="21">
        <v>2015.0</v>
      </c>
      <c r="C20" s="24">
        <v>500.0</v>
      </c>
      <c r="D20" s="105" t="s">
        <v>118</v>
      </c>
      <c r="E20" s="106" t="s">
        <v>129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104" t="s">
        <v>62</v>
      </c>
      <c r="B21" s="21">
        <v>2016.0</v>
      </c>
      <c r="C21" s="24">
        <v>900.0</v>
      </c>
      <c r="D21" s="108" t="s">
        <v>127</v>
      </c>
      <c r="E21" s="106" t="s">
        <v>130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104" t="s">
        <v>62</v>
      </c>
      <c r="B22" s="21">
        <v>2017.0</v>
      </c>
      <c r="C22" s="24">
        <v>600.0</v>
      </c>
      <c r="D22" s="107" t="s">
        <v>121</v>
      </c>
      <c r="E22" s="106" t="s">
        <v>131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04" t="s">
        <v>62</v>
      </c>
      <c r="B23" s="21">
        <v>2019.0</v>
      </c>
      <c r="C23" s="24">
        <v>500.0</v>
      </c>
      <c r="D23" s="105" t="s">
        <v>118</v>
      </c>
      <c r="E23" s="106" t="s">
        <v>132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04" t="s">
        <v>55</v>
      </c>
      <c r="B24" s="21">
        <v>1990.0</v>
      </c>
      <c r="C24" s="24">
        <v>60000.0</v>
      </c>
      <c r="D24" s="105" t="s">
        <v>118</v>
      </c>
      <c r="E24" s="106" t="s">
        <v>133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04" t="s">
        <v>55</v>
      </c>
      <c r="B25" s="21">
        <v>1990.0</v>
      </c>
      <c r="C25" s="24">
        <v>60000.0</v>
      </c>
      <c r="D25" s="105" t="s">
        <v>118</v>
      </c>
      <c r="E25" s="106" t="s">
        <v>134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04" t="s">
        <v>55</v>
      </c>
      <c r="B26" s="21">
        <v>1990.0</v>
      </c>
      <c r="C26" s="24">
        <v>50000.0</v>
      </c>
      <c r="D26" s="105" t="s">
        <v>118</v>
      </c>
      <c r="E26" s="106" t="s">
        <v>135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04" t="s">
        <v>55</v>
      </c>
      <c r="B27" s="21">
        <v>1991.0</v>
      </c>
      <c r="C27" s="24">
        <v>10000.0</v>
      </c>
      <c r="D27" s="105" t="s">
        <v>118</v>
      </c>
      <c r="E27" s="106" t="s">
        <v>136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04" t="s">
        <v>55</v>
      </c>
      <c r="B28" s="21">
        <v>1991.0</v>
      </c>
      <c r="C28" s="24">
        <v>5000.0</v>
      </c>
      <c r="D28" s="105" t="s">
        <v>118</v>
      </c>
      <c r="E28" s="106" t="s">
        <v>137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04" t="s">
        <v>55</v>
      </c>
      <c r="B29" s="21">
        <v>1991.0</v>
      </c>
      <c r="C29" s="24">
        <v>15000.0</v>
      </c>
      <c r="D29" s="107" t="s">
        <v>121</v>
      </c>
      <c r="E29" s="106" t="s">
        <v>138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04" t="s">
        <v>55</v>
      </c>
      <c r="B30" s="21">
        <v>1992.0</v>
      </c>
      <c r="C30" s="24">
        <v>8000.0</v>
      </c>
      <c r="D30" s="108" t="s">
        <v>127</v>
      </c>
      <c r="E30" s="106" t="s">
        <v>139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04" t="s">
        <v>55</v>
      </c>
      <c r="B31" s="21">
        <v>1992.0</v>
      </c>
      <c r="C31" s="24">
        <v>15000.0</v>
      </c>
      <c r="D31" s="105" t="s">
        <v>118</v>
      </c>
      <c r="E31" s="106" t="s">
        <v>140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04" t="s">
        <v>55</v>
      </c>
      <c r="B32" s="21">
        <v>1992.0</v>
      </c>
      <c r="C32" s="24">
        <v>40000.0</v>
      </c>
      <c r="D32" s="105" t="s">
        <v>118</v>
      </c>
      <c r="E32" s="106" t="s">
        <v>141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04" t="s">
        <v>55</v>
      </c>
      <c r="B33" s="21">
        <v>1992.0</v>
      </c>
      <c r="C33" s="24">
        <v>25000.0</v>
      </c>
      <c r="D33" s="107" t="s">
        <v>121</v>
      </c>
      <c r="E33" s="106" t="s">
        <v>142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04" t="s">
        <v>55</v>
      </c>
      <c r="B34" s="21">
        <v>1992.0</v>
      </c>
      <c r="C34" s="24">
        <v>10000.0</v>
      </c>
      <c r="D34" s="105" t="s">
        <v>118</v>
      </c>
      <c r="E34" s="106" t="s">
        <v>136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04" t="s">
        <v>55</v>
      </c>
      <c r="B35" s="21">
        <v>1992.0</v>
      </c>
      <c r="C35" s="24">
        <v>40000.0</v>
      </c>
      <c r="D35" s="105" t="s">
        <v>118</v>
      </c>
      <c r="E35" s="106" t="s">
        <v>143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104" t="s">
        <v>55</v>
      </c>
      <c r="B36" s="21">
        <v>1993.0</v>
      </c>
      <c r="C36" s="24">
        <v>15000.0</v>
      </c>
      <c r="D36" s="105" t="s">
        <v>118</v>
      </c>
      <c r="E36" s="106" t="s">
        <v>144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04" t="s">
        <v>55</v>
      </c>
      <c r="B37" s="21">
        <v>1993.0</v>
      </c>
      <c r="C37" s="24">
        <v>30000.0</v>
      </c>
      <c r="D37" s="107" t="s">
        <v>121</v>
      </c>
      <c r="E37" s="106" t="s">
        <v>145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104" t="s">
        <v>55</v>
      </c>
      <c r="B38" s="21">
        <v>1993.0</v>
      </c>
      <c r="C38" s="24">
        <v>5000.0</v>
      </c>
      <c r="D38" s="105" t="s">
        <v>118</v>
      </c>
      <c r="E38" s="106" t="s">
        <v>136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104" t="s">
        <v>55</v>
      </c>
      <c r="B39" s="21">
        <v>1994.0</v>
      </c>
      <c r="C39" s="24">
        <v>5000.0</v>
      </c>
      <c r="D39" s="105" t="s">
        <v>118</v>
      </c>
      <c r="E39" s="106" t="s">
        <v>135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104" t="s">
        <v>55</v>
      </c>
      <c r="B40" s="21">
        <v>1994.0</v>
      </c>
      <c r="C40" s="24">
        <v>5000.0</v>
      </c>
      <c r="D40" s="105" t="s">
        <v>118</v>
      </c>
      <c r="E40" s="106" t="s">
        <v>136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104" t="s">
        <v>55</v>
      </c>
      <c r="B41" s="21">
        <v>1994.0</v>
      </c>
      <c r="C41" s="24">
        <v>8000.0</v>
      </c>
      <c r="D41" s="107" t="s">
        <v>121</v>
      </c>
      <c r="E41" s="106" t="s">
        <v>146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104" t="s">
        <v>55</v>
      </c>
      <c r="B42" s="21">
        <v>1995.0</v>
      </c>
      <c r="C42" s="24">
        <v>5000.0</v>
      </c>
      <c r="D42" s="105" t="s">
        <v>118</v>
      </c>
      <c r="E42" s="106" t="s">
        <v>147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104" t="s">
        <v>55</v>
      </c>
      <c r="B43" s="21">
        <v>1995.0</v>
      </c>
      <c r="C43" s="24">
        <v>6000.0</v>
      </c>
      <c r="D43" s="105" t="s">
        <v>118</v>
      </c>
      <c r="E43" s="106" t="s">
        <v>139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104" t="s">
        <v>55</v>
      </c>
      <c r="B44" s="21">
        <v>1995.0</v>
      </c>
      <c r="C44" s="24">
        <v>10000.0</v>
      </c>
      <c r="D44" s="107" t="s">
        <v>121</v>
      </c>
      <c r="E44" s="106" t="s">
        <v>146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104" t="s">
        <v>55</v>
      </c>
      <c r="B45" s="21">
        <v>1995.0</v>
      </c>
      <c r="C45" s="24">
        <v>6000.0</v>
      </c>
      <c r="D45" s="105" t="s">
        <v>118</v>
      </c>
      <c r="E45" s="106" t="s">
        <v>148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104" t="s">
        <v>55</v>
      </c>
      <c r="B46" s="21">
        <v>1995.0</v>
      </c>
      <c r="C46" s="24">
        <v>10000.0</v>
      </c>
      <c r="D46" s="105" t="s">
        <v>118</v>
      </c>
      <c r="E46" s="106" t="s">
        <v>149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104" t="s">
        <v>55</v>
      </c>
      <c r="B47" s="21">
        <v>1996.0</v>
      </c>
      <c r="C47" s="24">
        <v>20000.0</v>
      </c>
      <c r="D47" s="105" t="s">
        <v>118</v>
      </c>
      <c r="E47" s="106" t="s">
        <v>147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104" t="s">
        <v>55</v>
      </c>
      <c r="B48" s="21">
        <v>1996.0</v>
      </c>
      <c r="C48" s="24">
        <v>20000.0</v>
      </c>
      <c r="D48" s="105" t="s">
        <v>118</v>
      </c>
      <c r="E48" s="106" t="s">
        <v>150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104" t="s">
        <v>55</v>
      </c>
      <c r="B49" s="21">
        <v>1996.0</v>
      </c>
      <c r="C49" s="24">
        <v>10000.0</v>
      </c>
      <c r="D49" s="105" t="s">
        <v>118</v>
      </c>
      <c r="E49" s="106" t="s">
        <v>133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104" t="s">
        <v>55</v>
      </c>
      <c r="B50" s="21">
        <v>1997.0</v>
      </c>
      <c r="C50" s="24">
        <v>7500.0</v>
      </c>
      <c r="D50" s="105" t="s">
        <v>118</v>
      </c>
      <c r="E50" s="106" t="s">
        <v>136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104" t="s">
        <v>55</v>
      </c>
      <c r="B51" s="21">
        <v>1997.0</v>
      </c>
      <c r="C51" s="24">
        <v>5000.0</v>
      </c>
      <c r="D51" s="105" t="s">
        <v>118</v>
      </c>
      <c r="E51" s="106" t="s">
        <v>135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104" t="s">
        <v>55</v>
      </c>
      <c r="B52" s="21">
        <v>1997.0</v>
      </c>
      <c r="C52" s="24">
        <v>5000.0</v>
      </c>
      <c r="D52" s="105" t="s">
        <v>118</v>
      </c>
      <c r="E52" s="106" t="s">
        <v>139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104" t="s">
        <v>55</v>
      </c>
      <c r="B53" s="21">
        <v>1997.0</v>
      </c>
      <c r="C53" s="24">
        <v>25000.0</v>
      </c>
      <c r="D53" s="107" t="s">
        <v>121</v>
      </c>
      <c r="E53" s="106" t="s">
        <v>151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104" t="s">
        <v>55</v>
      </c>
      <c r="B54" s="21">
        <v>1997.0</v>
      </c>
      <c r="C54" s="24">
        <v>5000.0</v>
      </c>
      <c r="D54" s="108" t="s">
        <v>127</v>
      </c>
      <c r="E54" s="106" t="s">
        <v>152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104" t="s">
        <v>55</v>
      </c>
      <c r="B55" s="21">
        <v>1998.0</v>
      </c>
      <c r="C55" s="24">
        <v>8000.0</v>
      </c>
      <c r="D55" s="105" t="s">
        <v>118</v>
      </c>
      <c r="E55" s="106" t="s">
        <v>139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104" t="s">
        <v>55</v>
      </c>
      <c r="B56" s="21">
        <v>1998.0</v>
      </c>
      <c r="C56" s="24">
        <v>20000.0</v>
      </c>
      <c r="D56" s="105" t="s">
        <v>118</v>
      </c>
      <c r="E56" s="106" t="s">
        <v>153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104" t="s">
        <v>55</v>
      </c>
      <c r="B57" s="21">
        <v>1998.0</v>
      </c>
      <c r="C57" s="24">
        <v>10000.0</v>
      </c>
      <c r="D57" s="105" t="s">
        <v>118</v>
      </c>
      <c r="E57" s="106" t="s">
        <v>147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104" t="s">
        <v>55</v>
      </c>
      <c r="B58" s="21">
        <v>1998.0</v>
      </c>
      <c r="C58" s="24">
        <v>17500.0</v>
      </c>
      <c r="D58" s="107" t="s">
        <v>121</v>
      </c>
      <c r="E58" s="106" t="s">
        <v>154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104" t="s">
        <v>55</v>
      </c>
      <c r="B59" s="21">
        <v>1999.0</v>
      </c>
      <c r="C59" s="24">
        <v>10000.0</v>
      </c>
      <c r="D59" s="105" t="s">
        <v>118</v>
      </c>
      <c r="E59" s="106" t="s">
        <v>139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104" t="s">
        <v>55</v>
      </c>
      <c r="B60" s="21">
        <v>1999.0</v>
      </c>
      <c r="C60" s="24">
        <v>10000.0</v>
      </c>
      <c r="D60" s="105" t="s">
        <v>118</v>
      </c>
      <c r="E60" s="106" t="s">
        <v>155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104" t="s">
        <v>55</v>
      </c>
      <c r="B61" s="21">
        <v>1999.0</v>
      </c>
      <c r="C61" s="24">
        <v>10000.0</v>
      </c>
      <c r="D61" s="105" t="s">
        <v>118</v>
      </c>
      <c r="E61" s="106" t="s">
        <v>156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104" t="s">
        <v>55</v>
      </c>
      <c r="B62" s="21">
        <v>1999.0</v>
      </c>
      <c r="C62" s="24">
        <v>7000.0</v>
      </c>
      <c r="D62" s="108" t="s">
        <v>127</v>
      </c>
      <c r="E62" s="106" t="s">
        <v>157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104" t="s">
        <v>55</v>
      </c>
      <c r="B63" s="21">
        <v>1999.0</v>
      </c>
      <c r="C63" s="24">
        <v>15000.0</v>
      </c>
      <c r="D63" s="107" t="s">
        <v>121</v>
      </c>
      <c r="E63" s="106" t="s">
        <v>158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104" t="s">
        <v>55</v>
      </c>
      <c r="B64" s="21">
        <v>2000.0</v>
      </c>
      <c r="C64" s="24">
        <v>18000.0</v>
      </c>
      <c r="D64" s="107" t="s">
        <v>121</v>
      </c>
      <c r="E64" s="106" t="s">
        <v>159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104" t="s">
        <v>55</v>
      </c>
      <c r="B65" s="21">
        <v>2000.0</v>
      </c>
      <c r="C65" s="24">
        <v>10000.0</v>
      </c>
      <c r="D65" s="105" t="s">
        <v>118</v>
      </c>
      <c r="E65" s="106" t="s">
        <v>120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104" t="s">
        <v>55</v>
      </c>
      <c r="B66" s="21">
        <v>2000.0</v>
      </c>
      <c r="C66" s="24">
        <v>7000.0</v>
      </c>
      <c r="D66" s="108" t="s">
        <v>127</v>
      </c>
      <c r="E66" s="106" t="s">
        <v>160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104" t="s">
        <v>55</v>
      </c>
      <c r="B67" s="21">
        <v>2000.0</v>
      </c>
      <c r="C67" s="24">
        <v>12000.0</v>
      </c>
      <c r="D67" s="107" t="s">
        <v>121</v>
      </c>
      <c r="E67" s="106" t="s">
        <v>161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104" t="s">
        <v>55</v>
      </c>
      <c r="B68" s="21">
        <v>2000.0</v>
      </c>
      <c r="C68" s="24">
        <v>10000.0</v>
      </c>
      <c r="D68" s="105" t="s">
        <v>118</v>
      </c>
      <c r="E68" s="106" t="s">
        <v>162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104" t="s">
        <v>55</v>
      </c>
      <c r="B69" s="21">
        <v>2000.0</v>
      </c>
      <c r="C69" s="24">
        <v>10000.0</v>
      </c>
      <c r="D69" s="105" t="s">
        <v>118</v>
      </c>
      <c r="E69" s="106" t="s">
        <v>139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104" t="s">
        <v>55</v>
      </c>
      <c r="B70" s="21">
        <v>2001.0</v>
      </c>
      <c r="C70" s="24">
        <v>10000.0</v>
      </c>
      <c r="D70" s="105" t="s">
        <v>118</v>
      </c>
      <c r="E70" s="106" t="s">
        <v>155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104" t="s">
        <v>55</v>
      </c>
      <c r="B71" s="21">
        <v>2001.0</v>
      </c>
      <c r="C71" s="24">
        <v>18000.0</v>
      </c>
      <c r="D71" s="105" t="s">
        <v>118</v>
      </c>
      <c r="E71" s="106" t="s">
        <v>139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104" t="s">
        <v>55</v>
      </c>
      <c r="B72" s="21">
        <v>2001.0</v>
      </c>
      <c r="C72" s="24">
        <v>18000.0</v>
      </c>
      <c r="D72" s="105" t="s">
        <v>118</v>
      </c>
      <c r="E72" s="106" t="s">
        <v>134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104" t="s">
        <v>55</v>
      </c>
      <c r="B73" s="21">
        <v>2001.0</v>
      </c>
      <c r="C73" s="24">
        <v>20000.0</v>
      </c>
      <c r="D73" s="105" t="s">
        <v>118</v>
      </c>
      <c r="E73" s="106" t="s">
        <v>136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104" t="s">
        <v>55</v>
      </c>
      <c r="B74" s="21">
        <v>2001.0</v>
      </c>
      <c r="C74" s="24">
        <v>25000.0</v>
      </c>
      <c r="D74" s="105" t="s">
        <v>118</v>
      </c>
      <c r="E74" s="106" t="s">
        <v>163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104" t="s">
        <v>55</v>
      </c>
      <c r="B75" s="21">
        <v>2001.0</v>
      </c>
      <c r="C75" s="24">
        <v>10000.0</v>
      </c>
      <c r="D75" s="105" t="s">
        <v>118</v>
      </c>
      <c r="E75" s="106" t="s">
        <v>147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104" t="s">
        <v>55</v>
      </c>
      <c r="B76" s="21">
        <v>2002.0</v>
      </c>
      <c r="C76" s="24">
        <v>10000.0</v>
      </c>
      <c r="D76" s="105" t="s">
        <v>118</v>
      </c>
      <c r="E76" s="106" t="s">
        <v>136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104" t="s">
        <v>55</v>
      </c>
      <c r="B77" s="21">
        <v>2002.0</v>
      </c>
      <c r="C77" s="24">
        <v>25000.0</v>
      </c>
      <c r="D77" s="107" t="s">
        <v>121</v>
      </c>
      <c r="E77" s="106" t="s">
        <v>164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104" t="s">
        <v>55</v>
      </c>
      <c r="B78" s="21">
        <v>2002.0</v>
      </c>
      <c r="C78" s="24">
        <v>12000.0</v>
      </c>
      <c r="D78" s="105" t="s">
        <v>118</v>
      </c>
      <c r="E78" s="106" t="s">
        <v>165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104" t="s">
        <v>55</v>
      </c>
      <c r="B79" s="21">
        <v>2002.0</v>
      </c>
      <c r="C79" s="24">
        <v>7000.0</v>
      </c>
      <c r="D79" s="108" t="s">
        <v>127</v>
      </c>
      <c r="E79" s="106" t="s">
        <v>166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104" t="s">
        <v>55</v>
      </c>
      <c r="B80" s="21">
        <v>2003.0</v>
      </c>
      <c r="C80" s="24">
        <v>20000.0</v>
      </c>
      <c r="D80" s="107" t="s">
        <v>121</v>
      </c>
      <c r="E80" s="106" t="s">
        <v>167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104" t="s">
        <v>55</v>
      </c>
      <c r="B81" s="21">
        <v>2003.0</v>
      </c>
      <c r="C81" s="24">
        <v>7000.0</v>
      </c>
      <c r="D81" s="108" t="s">
        <v>127</v>
      </c>
      <c r="E81" s="106" t="s">
        <v>166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104" t="s">
        <v>55</v>
      </c>
      <c r="B82" s="21">
        <v>2004.0</v>
      </c>
      <c r="C82" s="24">
        <v>25000.0</v>
      </c>
      <c r="D82" s="107" t="s">
        <v>121</v>
      </c>
      <c r="E82" s="106" t="s">
        <v>168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104" t="s">
        <v>55</v>
      </c>
      <c r="B83" s="21">
        <v>2004.0</v>
      </c>
      <c r="C83" s="24">
        <v>12000.0</v>
      </c>
      <c r="D83" s="108" t="s">
        <v>127</v>
      </c>
      <c r="E83" s="106" t="s">
        <v>169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104" t="s">
        <v>55</v>
      </c>
      <c r="B84" s="21">
        <v>2005.0</v>
      </c>
      <c r="C84" s="24">
        <v>12000.0</v>
      </c>
      <c r="D84" s="107" t="s">
        <v>121</v>
      </c>
      <c r="E84" s="106" t="s">
        <v>170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104" t="s">
        <v>55</v>
      </c>
      <c r="B85" s="21">
        <v>2005.0</v>
      </c>
      <c r="C85" s="24">
        <v>12000.0</v>
      </c>
      <c r="D85" s="105" t="s">
        <v>118</v>
      </c>
      <c r="E85" s="106" t="s">
        <v>163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104" t="s">
        <v>55</v>
      </c>
      <c r="B86" s="21">
        <v>2005.0</v>
      </c>
      <c r="C86" s="24">
        <v>10000.0</v>
      </c>
      <c r="D86" s="105" t="s">
        <v>118</v>
      </c>
      <c r="E86" s="106" t="s">
        <v>120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104" t="s">
        <v>55</v>
      </c>
      <c r="B87" s="21">
        <v>2005.0</v>
      </c>
      <c r="C87" s="24">
        <v>8000.0</v>
      </c>
      <c r="D87" s="105" t="s">
        <v>118</v>
      </c>
      <c r="E87" s="106" t="s">
        <v>155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104" t="s">
        <v>55</v>
      </c>
      <c r="B88" s="21">
        <v>2006.0</v>
      </c>
      <c r="C88" s="24">
        <v>17000.0</v>
      </c>
      <c r="D88" s="107" t="s">
        <v>121</v>
      </c>
      <c r="E88" s="106" t="s">
        <v>171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104" t="s">
        <v>55</v>
      </c>
      <c r="B89" s="21">
        <v>2006.0</v>
      </c>
      <c r="C89" s="24">
        <v>8000.0</v>
      </c>
      <c r="D89" s="105" t="s">
        <v>118</v>
      </c>
      <c r="E89" s="106" t="s">
        <v>123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104" t="s">
        <v>55</v>
      </c>
      <c r="B90" s="21">
        <v>2006.0</v>
      </c>
      <c r="C90" s="24">
        <v>25000.0</v>
      </c>
      <c r="D90" s="107" t="s">
        <v>121</v>
      </c>
      <c r="E90" s="106" t="s">
        <v>172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104" t="s">
        <v>55</v>
      </c>
      <c r="B91" s="21">
        <v>2006.0</v>
      </c>
      <c r="C91" s="24">
        <v>10000.0</v>
      </c>
      <c r="D91" s="105" t="s">
        <v>118</v>
      </c>
      <c r="E91" s="106" t="s">
        <v>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104" t="s">
        <v>55</v>
      </c>
      <c r="B92" s="21">
        <v>2006.0</v>
      </c>
      <c r="C92" s="24">
        <v>7500.0</v>
      </c>
      <c r="D92" s="108" t="s">
        <v>127</v>
      </c>
      <c r="E92" s="106" t="s">
        <v>173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104" t="s">
        <v>55</v>
      </c>
      <c r="B93" s="21">
        <v>2007.0</v>
      </c>
      <c r="C93" s="24">
        <v>12000.0</v>
      </c>
      <c r="D93" s="105" t="s">
        <v>118</v>
      </c>
      <c r="E93" s="106" t="s">
        <v>174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104" t="s">
        <v>55</v>
      </c>
      <c r="B94" s="21">
        <v>2007.0</v>
      </c>
      <c r="C94" s="24">
        <v>12000.0</v>
      </c>
      <c r="D94" s="107" t="s">
        <v>121</v>
      </c>
      <c r="E94" s="106" t="s">
        <v>172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104" t="s">
        <v>55</v>
      </c>
      <c r="B95" s="21">
        <v>2007.0</v>
      </c>
      <c r="C95" s="24">
        <v>7500.0</v>
      </c>
      <c r="D95" s="108" t="s">
        <v>127</v>
      </c>
      <c r="E95" s="106" t="s">
        <v>166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104" t="s">
        <v>55</v>
      </c>
      <c r="B96" s="21">
        <v>2008.0</v>
      </c>
      <c r="C96" s="24">
        <v>5000.0</v>
      </c>
      <c r="D96" s="105" t="s">
        <v>118</v>
      </c>
      <c r="E96" s="106" t="s">
        <v>175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104" t="s">
        <v>55</v>
      </c>
      <c r="B97" s="21">
        <v>2008.0</v>
      </c>
      <c r="C97" s="24">
        <v>20000.0</v>
      </c>
      <c r="D97" s="107" t="s">
        <v>121</v>
      </c>
      <c r="E97" s="106" t="s">
        <v>172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104" t="s">
        <v>55</v>
      </c>
      <c r="B98" s="21">
        <v>2008.0</v>
      </c>
      <c r="C98" s="24">
        <v>6500.0</v>
      </c>
      <c r="D98" s="105" t="s">
        <v>118</v>
      </c>
      <c r="E98" s="106" t="s">
        <v>176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104" t="s">
        <v>55</v>
      </c>
      <c r="B99" s="21">
        <v>2008.0</v>
      </c>
      <c r="C99" s="24">
        <v>5000.0</v>
      </c>
      <c r="D99" s="108" t="s">
        <v>127</v>
      </c>
      <c r="E99" s="106" t="s">
        <v>177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104" t="s">
        <v>55</v>
      </c>
      <c r="B100" s="21">
        <v>2009.0</v>
      </c>
      <c r="C100" s="24">
        <v>20000.0</v>
      </c>
      <c r="D100" s="107" t="s">
        <v>121</v>
      </c>
      <c r="E100" s="106" t="s">
        <v>178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104" t="s">
        <v>55</v>
      </c>
      <c r="B101" s="21">
        <v>2009.0</v>
      </c>
      <c r="C101" s="24">
        <v>18000.0</v>
      </c>
      <c r="D101" s="107" t="s">
        <v>121</v>
      </c>
      <c r="E101" s="106" t="s">
        <v>172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104" t="s">
        <v>55</v>
      </c>
      <c r="B102" s="21">
        <v>2009.0</v>
      </c>
      <c r="C102" s="24">
        <v>2500.0</v>
      </c>
      <c r="D102" s="108" t="s">
        <v>127</v>
      </c>
      <c r="E102" s="106" t="s">
        <v>179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104" t="s">
        <v>55</v>
      </c>
      <c r="B103" s="21">
        <v>2010.0</v>
      </c>
      <c r="C103" s="24">
        <v>12000.0</v>
      </c>
      <c r="D103" s="107" t="s">
        <v>121</v>
      </c>
      <c r="E103" s="106" t="s">
        <v>164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104" t="s">
        <v>55</v>
      </c>
      <c r="B104" s="21">
        <v>2010.0</v>
      </c>
      <c r="C104" s="24">
        <v>7500.0</v>
      </c>
      <c r="D104" s="108" t="s">
        <v>127</v>
      </c>
      <c r="E104" s="106" t="s">
        <v>166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104" t="s">
        <v>55</v>
      </c>
      <c r="B105" s="21">
        <v>2011.0</v>
      </c>
      <c r="C105" s="24">
        <v>10000.0</v>
      </c>
      <c r="D105" s="107" t="s">
        <v>121</v>
      </c>
      <c r="E105" s="106" t="s">
        <v>180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104" t="s">
        <v>55</v>
      </c>
      <c r="B106" s="21">
        <v>2011.0</v>
      </c>
      <c r="C106" s="24">
        <v>15000.0</v>
      </c>
      <c r="D106" s="107" t="s">
        <v>121</v>
      </c>
      <c r="E106" s="106" t="s">
        <v>181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104" t="s">
        <v>55</v>
      </c>
      <c r="B107" s="21">
        <v>2011.0</v>
      </c>
      <c r="C107" s="24">
        <v>15000.0</v>
      </c>
      <c r="D107" s="105" t="s">
        <v>118</v>
      </c>
      <c r="E107" s="106" t="s">
        <v>134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104" t="s">
        <v>55</v>
      </c>
      <c r="B108" s="21">
        <v>2011.0</v>
      </c>
      <c r="C108" s="24">
        <v>6000.0</v>
      </c>
      <c r="D108" s="108" t="s">
        <v>127</v>
      </c>
      <c r="E108" s="106" t="s">
        <v>182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104" t="s">
        <v>55</v>
      </c>
      <c r="B109" s="21">
        <v>2012.0</v>
      </c>
      <c r="C109" s="24">
        <v>13500.0</v>
      </c>
      <c r="D109" s="105" t="s">
        <v>118</v>
      </c>
      <c r="E109" s="106" t="s">
        <v>183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104" t="s">
        <v>55</v>
      </c>
      <c r="B110" s="21">
        <v>2012.0</v>
      </c>
      <c r="C110" s="24">
        <v>12000.0</v>
      </c>
      <c r="D110" s="105" t="s">
        <v>118</v>
      </c>
      <c r="E110" s="106" t="s">
        <v>184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104" t="s">
        <v>55</v>
      </c>
      <c r="B111" s="21">
        <v>2012.0</v>
      </c>
      <c r="C111" s="24">
        <v>10000.0</v>
      </c>
      <c r="D111" s="105" t="s">
        <v>118</v>
      </c>
      <c r="E111" s="106" t="s">
        <v>123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104" t="s">
        <v>55</v>
      </c>
      <c r="B112" s="21">
        <v>2012.0</v>
      </c>
      <c r="C112" s="24">
        <v>15000.0</v>
      </c>
      <c r="D112" s="107" t="s">
        <v>121</v>
      </c>
      <c r="E112" s="106" t="s">
        <v>185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104" t="s">
        <v>55</v>
      </c>
      <c r="B113" s="21">
        <v>2013.0</v>
      </c>
      <c r="C113" s="24">
        <v>9500.0</v>
      </c>
      <c r="D113" s="105" t="s">
        <v>118</v>
      </c>
      <c r="E113" s="106" t="s">
        <v>186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104" t="s">
        <v>55</v>
      </c>
      <c r="B114" s="21">
        <v>2013.0</v>
      </c>
      <c r="C114" s="24">
        <v>10000.0</v>
      </c>
      <c r="D114" s="105" t="s">
        <v>118</v>
      </c>
      <c r="E114" s="106" t="s">
        <v>147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104" t="s">
        <v>55</v>
      </c>
      <c r="B115" s="21">
        <v>2014.0</v>
      </c>
      <c r="C115" s="24">
        <v>10000.0</v>
      </c>
      <c r="D115" s="105" t="s">
        <v>118</v>
      </c>
      <c r="E115" s="106" t="s">
        <v>187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104" t="s">
        <v>55</v>
      </c>
      <c r="B116" s="21">
        <v>2014.0</v>
      </c>
      <c r="C116" s="24">
        <v>10000.0</v>
      </c>
      <c r="D116" s="105" t="s">
        <v>118</v>
      </c>
      <c r="E116" s="106" t="s">
        <v>134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104" t="s">
        <v>55</v>
      </c>
      <c r="B117" s="21">
        <v>2015.0</v>
      </c>
      <c r="C117" s="24">
        <v>15000.0</v>
      </c>
      <c r="D117" s="107" t="s">
        <v>121</v>
      </c>
      <c r="E117" s="106" t="s">
        <v>188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104" t="s">
        <v>55</v>
      </c>
      <c r="B118" s="21">
        <v>2016.0</v>
      </c>
      <c r="C118" s="24">
        <v>14000.0</v>
      </c>
      <c r="D118" s="107" t="s">
        <v>121</v>
      </c>
      <c r="E118" s="106" t="s">
        <v>189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104" t="s">
        <v>55</v>
      </c>
      <c r="B119" s="21">
        <v>2017.0</v>
      </c>
      <c r="C119" s="24">
        <v>14000.0</v>
      </c>
      <c r="D119" s="107" t="s">
        <v>121</v>
      </c>
      <c r="E119" s="106" t="s">
        <v>190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104" t="s">
        <v>55</v>
      </c>
      <c r="B120" s="21">
        <v>2018.0</v>
      </c>
      <c r="C120" s="24">
        <v>14000.0</v>
      </c>
      <c r="D120" s="107" t="s">
        <v>121</v>
      </c>
      <c r="E120" s="106" t="s">
        <v>191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104" t="s">
        <v>55</v>
      </c>
      <c r="B121" s="21">
        <v>2018.0</v>
      </c>
      <c r="C121" s="24">
        <v>5000.0</v>
      </c>
      <c r="D121" s="108" t="s">
        <v>127</v>
      </c>
      <c r="E121" s="106" t="s">
        <v>192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104" t="s">
        <v>55</v>
      </c>
      <c r="B122" s="21">
        <v>2019.0</v>
      </c>
      <c r="C122" s="24">
        <v>13000.0</v>
      </c>
      <c r="D122" s="107" t="s">
        <v>121</v>
      </c>
      <c r="E122" s="106" t="s">
        <v>193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104" t="s">
        <v>55</v>
      </c>
      <c r="B123" s="21">
        <v>2020.0</v>
      </c>
      <c r="C123" s="24">
        <v>0.0</v>
      </c>
      <c r="D123" s="108" t="s">
        <v>194</v>
      </c>
      <c r="E123" s="106" t="s">
        <v>195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104" t="s">
        <v>55</v>
      </c>
      <c r="B124" s="21">
        <v>2021.0</v>
      </c>
      <c r="C124" s="24">
        <v>300.0</v>
      </c>
      <c r="D124" s="107" t="s">
        <v>121</v>
      </c>
      <c r="E124" s="106" t="s">
        <v>196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104" t="s">
        <v>55</v>
      </c>
      <c r="B125" s="21">
        <v>2022.0</v>
      </c>
      <c r="C125" s="24">
        <v>7500.0</v>
      </c>
      <c r="D125" s="105" t="s">
        <v>118</v>
      </c>
      <c r="E125" s="106" t="s">
        <v>129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104" t="s">
        <v>55</v>
      </c>
      <c r="B126" s="21">
        <v>2022.0</v>
      </c>
      <c r="C126" s="24">
        <v>9500.0</v>
      </c>
      <c r="D126" s="108" t="s">
        <v>127</v>
      </c>
      <c r="E126" s="106" t="s">
        <v>197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104" t="s">
        <v>55</v>
      </c>
      <c r="B127" s="21">
        <v>2023.0</v>
      </c>
      <c r="C127" s="24">
        <v>6000.0</v>
      </c>
      <c r="D127" s="108" t="s">
        <v>127</v>
      </c>
      <c r="E127" s="106" t="s">
        <v>197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104" t="s">
        <v>55</v>
      </c>
      <c r="B128" s="21">
        <v>2024.0</v>
      </c>
      <c r="C128" s="24">
        <v>14000.0</v>
      </c>
      <c r="D128" s="108" t="s">
        <v>127</v>
      </c>
      <c r="E128" s="106" t="s">
        <v>197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104" t="s">
        <v>55</v>
      </c>
      <c r="B129" s="21">
        <v>2024.0</v>
      </c>
      <c r="C129" s="24">
        <v>7500.0</v>
      </c>
      <c r="D129" s="105" t="s">
        <v>118</v>
      </c>
      <c r="E129" s="106" t="s">
        <v>187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104" t="s">
        <v>55</v>
      </c>
      <c r="B130" s="21">
        <v>2024.0</v>
      </c>
      <c r="C130" s="24">
        <v>12500.0</v>
      </c>
      <c r="D130" s="105" t="s">
        <v>118</v>
      </c>
      <c r="E130" s="106" t="s">
        <v>198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104" t="s">
        <v>55</v>
      </c>
      <c r="B131" s="21">
        <v>2025.0</v>
      </c>
      <c r="C131" s="24">
        <v>6600.0</v>
      </c>
      <c r="D131" s="108" t="s">
        <v>127</v>
      </c>
      <c r="E131" s="106" t="s">
        <v>197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104" t="s">
        <v>55</v>
      </c>
      <c r="B132" s="21">
        <v>2025.0</v>
      </c>
      <c r="C132" s="24">
        <v>11000.0</v>
      </c>
      <c r="D132" s="105" t="s">
        <v>118</v>
      </c>
      <c r="E132" s="106" t="s">
        <v>136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104" t="s">
        <v>55</v>
      </c>
      <c r="B133" s="21">
        <v>2026.0</v>
      </c>
      <c r="C133" s="24">
        <v>7100.0</v>
      </c>
      <c r="D133" s="108" t="s">
        <v>127</v>
      </c>
      <c r="E133" s="106" t="s">
        <v>197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104" t="s">
        <v>55</v>
      </c>
      <c r="B134" s="21">
        <v>2026.0</v>
      </c>
      <c r="C134" s="24">
        <v>12000.0</v>
      </c>
      <c r="D134" s="107" t="s">
        <v>121</v>
      </c>
      <c r="E134" s="106" t="s">
        <v>198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104" t="s">
        <v>61</v>
      </c>
      <c r="B135" s="21">
        <v>2006.0</v>
      </c>
      <c r="C135" s="24">
        <v>4000.0</v>
      </c>
      <c r="D135" s="105" t="s">
        <v>118</v>
      </c>
      <c r="E135" s="106" t="s">
        <v>199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104" t="s">
        <v>61</v>
      </c>
      <c r="B136" s="21">
        <v>2007.0</v>
      </c>
      <c r="C136" s="24">
        <v>6000.0</v>
      </c>
      <c r="D136" s="105" t="s">
        <v>118</v>
      </c>
      <c r="E136" s="106" t="s">
        <v>162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104" t="s">
        <v>61</v>
      </c>
      <c r="B137" s="21">
        <v>2007.0</v>
      </c>
      <c r="C137" s="24">
        <v>8000.0</v>
      </c>
      <c r="D137" s="105" t="s">
        <v>118</v>
      </c>
      <c r="E137" s="106" t="s">
        <v>200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104" t="s">
        <v>61</v>
      </c>
      <c r="B138" s="21">
        <v>2008.0</v>
      </c>
      <c r="C138" s="24">
        <v>6500.0</v>
      </c>
      <c r="D138" s="107" t="s">
        <v>121</v>
      </c>
      <c r="E138" s="106" t="s">
        <v>126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104" t="s">
        <v>61</v>
      </c>
      <c r="B139" s="21">
        <v>2009.0</v>
      </c>
      <c r="C139" s="24">
        <v>3500.0</v>
      </c>
      <c r="D139" s="107" t="s">
        <v>121</v>
      </c>
      <c r="E139" s="106" t="s">
        <v>126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104" t="s">
        <v>65</v>
      </c>
      <c r="B140" s="21">
        <v>1998.0</v>
      </c>
      <c r="C140" s="24">
        <v>1500.0</v>
      </c>
      <c r="D140" s="105" t="s">
        <v>118</v>
      </c>
      <c r="E140" s="106" t="s">
        <v>120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104" t="s">
        <v>65</v>
      </c>
      <c r="B141" s="21">
        <v>2000.0</v>
      </c>
      <c r="C141" s="24">
        <v>5000.0</v>
      </c>
      <c r="D141" s="105" t="s">
        <v>118</v>
      </c>
      <c r="E141" s="106" t="s">
        <v>120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104" t="s">
        <v>65</v>
      </c>
      <c r="B142" s="21">
        <v>2001.0</v>
      </c>
      <c r="C142" s="24">
        <v>5000.0</v>
      </c>
      <c r="D142" s="105" t="s">
        <v>118</v>
      </c>
      <c r="E142" s="106" t="s">
        <v>120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104" t="s">
        <v>65</v>
      </c>
      <c r="B143" s="21">
        <v>2003.0</v>
      </c>
      <c r="C143" s="24">
        <v>20000.0</v>
      </c>
      <c r="D143" s="105" t="s">
        <v>118</v>
      </c>
      <c r="E143" s="106" t="s">
        <v>201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104" t="s">
        <v>64</v>
      </c>
      <c r="B144" s="21">
        <v>2003.0</v>
      </c>
      <c r="C144" s="24">
        <v>20000.0</v>
      </c>
      <c r="D144" s="105" t="s">
        <v>118</v>
      </c>
      <c r="E144" s="106" t="s">
        <v>202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104" t="s">
        <v>64</v>
      </c>
      <c r="B145" s="21">
        <v>2004.0</v>
      </c>
      <c r="C145" s="24">
        <v>30000.0</v>
      </c>
      <c r="D145" s="105" t="s">
        <v>118</v>
      </c>
      <c r="E145" s="106" t="s">
        <v>203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104" t="s">
        <v>64</v>
      </c>
      <c r="B146" s="21">
        <v>2005.0</v>
      </c>
      <c r="C146" s="24">
        <v>15000.0</v>
      </c>
      <c r="D146" s="108" t="s">
        <v>127</v>
      </c>
      <c r="E146" s="106" t="s">
        <v>204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104" t="s">
        <v>64</v>
      </c>
      <c r="B147" s="21">
        <v>2006.0</v>
      </c>
      <c r="C147" s="24">
        <v>11000.0</v>
      </c>
      <c r="D147" s="108" t="s">
        <v>127</v>
      </c>
      <c r="E147" s="106" t="s">
        <v>204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104" t="s">
        <v>64</v>
      </c>
      <c r="B148" s="21">
        <v>2007.0</v>
      </c>
      <c r="C148" s="24">
        <v>16000.0</v>
      </c>
      <c r="D148" s="108" t="s">
        <v>127</v>
      </c>
      <c r="E148" s="106" t="s">
        <v>204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104" t="s">
        <v>64</v>
      </c>
      <c r="B149" s="21">
        <v>2007.0</v>
      </c>
      <c r="C149" s="24">
        <v>50000.0</v>
      </c>
      <c r="D149" s="105" t="s">
        <v>118</v>
      </c>
      <c r="E149" s="106" t="s">
        <v>162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104" t="s">
        <v>64</v>
      </c>
      <c r="B150" s="21">
        <v>2007.0</v>
      </c>
      <c r="C150" s="24">
        <v>60000.0</v>
      </c>
      <c r="D150" s="107" t="s">
        <v>121</v>
      </c>
      <c r="E150" s="106" t="s">
        <v>205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104" t="s">
        <v>64</v>
      </c>
      <c r="B151" s="21">
        <v>2008.0</v>
      </c>
      <c r="C151" s="24">
        <v>20000.0</v>
      </c>
      <c r="D151" s="108" t="s">
        <v>127</v>
      </c>
      <c r="E151" s="106" t="s">
        <v>204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104" t="s">
        <v>64</v>
      </c>
      <c r="B152" s="21">
        <v>2009.0</v>
      </c>
      <c r="C152" s="24">
        <v>35000.0</v>
      </c>
      <c r="D152" s="108" t="s">
        <v>127</v>
      </c>
      <c r="E152" s="106" t="s">
        <v>204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104" t="s">
        <v>64</v>
      </c>
      <c r="B153" s="21">
        <v>2010.0</v>
      </c>
      <c r="C153" s="24">
        <v>29000.0</v>
      </c>
      <c r="D153" s="108" t="s">
        <v>127</v>
      </c>
      <c r="E153" s="106" t="s">
        <v>204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104" t="s">
        <v>64</v>
      </c>
      <c r="B154" s="21">
        <v>2011.0</v>
      </c>
      <c r="C154" s="24">
        <v>30000.0</v>
      </c>
      <c r="D154" s="108" t="s">
        <v>127</v>
      </c>
      <c r="E154" s="106" t="s">
        <v>206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104" t="s">
        <v>64</v>
      </c>
      <c r="B155" s="21">
        <v>2011.0</v>
      </c>
      <c r="C155" s="24">
        <v>24000.0</v>
      </c>
      <c r="D155" s="108" t="s">
        <v>127</v>
      </c>
      <c r="E155" s="106" t="s">
        <v>207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104" t="s">
        <v>64</v>
      </c>
      <c r="B156" s="21">
        <v>2012.0</v>
      </c>
      <c r="C156" s="24">
        <v>29000.0</v>
      </c>
      <c r="D156" s="108" t="s">
        <v>127</v>
      </c>
      <c r="E156" s="106" t="s">
        <v>208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104" t="s">
        <v>64</v>
      </c>
      <c r="B157" s="21">
        <v>2012.0</v>
      </c>
      <c r="C157" s="24">
        <v>30000.0</v>
      </c>
      <c r="D157" s="105" t="s">
        <v>118</v>
      </c>
      <c r="E157" s="106" t="s">
        <v>187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104" t="s">
        <v>64</v>
      </c>
      <c r="B158" s="21">
        <v>2012.0</v>
      </c>
      <c r="C158" s="24">
        <v>35000.0</v>
      </c>
      <c r="D158" s="105" t="s">
        <v>118</v>
      </c>
      <c r="E158" s="106" t="s">
        <v>209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104" t="s">
        <v>64</v>
      </c>
      <c r="B159" s="21">
        <v>2013.0</v>
      </c>
      <c r="C159" s="24">
        <v>40000.0</v>
      </c>
      <c r="D159" s="105" t="s">
        <v>118</v>
      </c>
      <c r="E159" s="106" t="s">
        <v>129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104" t="s">
        <v>64</v>
      </c>
      <c r="B160" s="21">
        <v>2014.0</v>
      </c>
      <c r="C160" s="24">
        <v>40000.0</v>
      </c>
      <c r="D160" s="105" t="s">
        <v>118</v>
      </c>
      <c r="E160" s="106" t="s">
        <v>205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104" t="s">
        <v>64</v>
      </c>
      <c r="B161" s="21">
        <v>2015.0</v>
      </c>
      <c r="C161" s="24">
        <v>45000.0</v>
      </c>
      <c r="D161" s="107" t="s">
        <v>121</v>
      </c>
      <c r="E161" s="106" t="s">
        <v>210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104" t="s">
        <v>64</v>
      </c>
      <c r="B162" s="21">
        <v>2016.0</v>
      </c>
      <c r="C162" s="24">
        <v>30000.0</v>
      </c>
      <c r="D162" s="105" t="s">
        <v>118</v>
      </c>
      <c r="E162" s="106" t="s">
        <v>200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104" t="s">
        <v>64</v>
      </c>
      <c r="B163" s="21">
        <v>2017.0</v>
      </c>
      <c r="C163" s="24">
        <v>45000.0</v>
      </c>
      <c r="D163" s="105" t="s">
        <v>118</v>
      </c>
      <c r="E163" s="106" t="s">
        <v>187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104" t="s">
        <v>64</v>
      </c>
      <c r="B164" s="21">
        <v>2018.0</v>
      </c>
      <c r="C164" s="24">
        <v>52000.0</v>
      </c>
      <c r="D164" s="105" t="s">
        <v>118</v>
      </c>
      <c r="E164" s="106" t="s">
        <v>211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104" t="s">
        <v>64</v>
      </c>
      <c r="B165" s="21">
        <v>2019.0</v>
      </c>
      <c r="C165" s="24">
        <v>45000.0</v>
      </c>
      <c r="D165" s="105" t="s">
        <v>118</v>
      </c>
      <c r="E165" s="106" t="s">
        <v>212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104" t="s">
        <v>66</v>
      </c>
      <c r="B166" s="21">
        <v>2018.0</v>
      </c>
      <c r="C166" s="24">
        <v>1500.0</v>
      </c>
      <c r="D166" s="105" t="s">
        <v>118</v>
      </c>
      <c r="E166" s="106" t="s">
        <v>213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104" t="s">
        <v>66</v>
      </c>
      <c r="B167" s="21">
        <v>2018.0</v>
      </c>
      <c r="C167" s="24">
        <v>5000.0</v>
      </c>
      <c r="D167" s="107" t="s">
        <v>121</v>
      </c>
      <c r="E167" s="106" t="s">
        <v>214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104" t="s">
        <v>66</v>
      </c>
      <c r="B168" s="21">
        <v>2019.0</v>
      </c>
      <c r="C168" s="24">
        <v>2500.0</v>
      </c>
      <c r="D168" s="105" t="s">
        <v>118</v>
      </c>
      <c r="E168" s="106" t="s">
        <v>215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104" t="s">
        <v>66</v>
      </c>
      <c r="B169" s="21">
        <v>2019.0</v>
      </c>
      <c r="C169" s="24">
        <v>4500.0</v>
      </c>
      <c r="D169" s="105" t="s">
        <v>118</v>
      </c>
      <c r="E169" s="106" t="s">
        <v>216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104" t="s">
        <v>66</v>
      </c>
      <c r="B170" s="21">
        <v>2019.0</v>
      </c>
      <c r="C170" s="24">
        <v>7500.0</v>
      </c>
      <c r="D170" s="107" t="s">
        <v>121</v>
      </c>
      <c r="E170" s="106" t="s">
        <v>217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104" t="s">
        <v>66</v>
      </c>
      <c r="B171" s="21">
        <v>2019.0</v>
      </c>
      <c r="C171" s="24">
        <v>3000.0</v>
      </c>
      <c r="D171" s="105" t="s">
        <v>118</v>
      </c>
      <c r="E171" s="106" t="s">
        <v>218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104" t="s">
        <v>63</v>
      </c>
      <c r="B172" s="21">
        <v>1992.0</v>
      </c>
      <c r="C172" s="24">
        <v>50.0</v>
      </c>
      <c r="D172" s="105" t="s">
        <v>118</v>
      </c>
      <c r="E172" s="106" t="s">
        <v>120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104" t="s">
        <v>63</v>
      </c>
      <c r="B173" s="21">
        <v>1993.0</v>
      </c>
      <c r="C173" s="24">
        <v>100.0</v>
      </c>
      <c r="D173" s="105" t="s">
        <v>118</v>
      </c>
      <c r="E173" s="106" t="s">
        <v>119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104" t="s">
        <v>63</v>
      </c>
      <c r="B174" s="21">
        <v>1994.0</v>
      </c>
      <c r="C174" s="24">
        <v>5.0</v>
      </c>
      <c r="D174" s="105" t="s">
        <v>118</v>
      </c>
      <c r="E174" s="106" t="s">
        <v>163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104" t="s">
        <v>63</v>
      </c>
      <c r="B175" s="21">
        <v>1996.0</v>
      </c>
      <c r="C175" s="24">
        <v>300.0</v>
      </c>
      <c r="D175" s="105" t="s">
        <v>118</v>
      </c>
      <c r="E175" s="106" t="s">
        <v>119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104" t="s">
        <v>63</v>
      </c>
      <c r="B176" s="21">
        <v>1996.0</v>
      </c>
      <c r="C176" s="24">
        <v>400.0</v>
      </c>
      <c r="D176" s="105" t="s">
        <v>118</v>
      </c>
      <c r="E176" s="106" t="s">
        <v>219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104" t="s">
        <v>63</v>
      </c>
      <c r="B177" s="21">
        <v>2000.0</v>
      </c>
      <c r="C177" s="24">
        <v>1000.0</v>
      </c>
      <c r="D177" s="105" t="s">
        <v>118</v>
      </c>
      <c r="E177" s="106" t="s">
        <v>119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104" t="s">
        <v>63</v>
      </c>
      <c r="B178" s="21">
        <v>2001.0</v>
      </c>
      <c r="C178" s="24">
        <v>100.0</v>
      </c>
      <c r="D178" s="105" t="s">
        <v>118</v>
      </c>
      <c r="E178" s="106" t="s">
        <v>220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104" t="s">
        <v>63</v>
      </c>
      <c r="B179" s="21">
        <v>2002.0</v>
      </c>
      <c r="C179" s="24">
        <v>700.0</v>
      </c>
      <c r="D179" s="105" t="s">
        <v>118</v>
      </c>
      <c r="E179" s="106" t="s">
        <v>119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104" t="s">
        <v>63</v>
      </c>
      <c r="B180" s="21">
        <v>2003.0</v>
      </c>
      <c r="C180" s="24">
        <v>1350.0</v>
      </c>
      <c r="D180" s="108" t="s">
        <v>127</v>
      </c>
      <c r="E180" s="106" t="s">
        <v>221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104" t="s">
        <v>63</v>
      </c>
      <c r="B181" s="21">
        <v>2003.0</v>
      </c>
      <c r="C181" s="24">
        <v>2000.0</v>
      </c>
      <c r="D181" s="105" t="s">
        <v>118</v>
      </c>
      <c r="E181" s="106" t="s">
        <v>222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104" t="s">
        <v>63</v>
      </c>
      <c r="B182" s="21">
        <v>2004.0</v>
      </c>
      <c r="C182" s="24">
        <v>2300.0</v>
      </c>
      <c r="D182" s="105" t="s">
        <v>118</v>
      </c>
      <c r="E182" s="106" t="s">
        <v>125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104" t="s">
        <v>63</v>
      </c>
      <c r="B183" s="21">
        <v>2009.0</v>
      </c>
      <c r="C183" s="24">
        <v>200.0</v>
      </c>
      <c r="D183" s="105" t="s">
        <v>118</v>
      </c>
      <c r="E183" s="106" t="s">
        <v>199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104" t="s">
        <v>63</v>
      </c>
      <c r="B184" s="21">
        <v>2010.0</v>
      </c>
      <c r="C184" s="24">
        <v>700.0</v>
      </c>
      <c r="D184" s="105" t="s">
        <v>118</v>
      </c>
      <c r="E184" s="106" t="s">
        <v>223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104" t="s">
        <v>63</v>
      </c>
      <c r="B185" s="21">
        <v>2013.0</v>
      </c>
      <c r="C185" s="24">
        <v>300.0</v>
      </c>
      <c r="D185" s="105" t="s">
        <v>118</v>
      </c>
      <c r="E185" s="106" t="s">
        <v>120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104" t="s">
        <v>63</v>
      </c>
      <c r="B186" s="21">
        <v>2015.0</v>
      </c>
      <c r="C186" s="24">
        <v>50.0</v>
      </c>
      <c r="D186" s="105" t="s">
        <v>118</v>
      </c>
      <c r="E186" s="106" t="s">
        <v>224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104" t="s">
        <v>63</v>
      </c>
      <c r="B187" s="21">
        <v>2016.0</v>
      </c>
      <c r="C187" s="24">
        <v>50.0</v>
      </c>
      <c r="D187" s="105" t="s">
        <v>118</v>
      </c>
      <c r="E187" s="106" t="s">
        <v>225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104" t="s">
        <v>63</v>
      </c>
      <c r="B188" s="21">
        <v>2017.0</v>
      </c>
      <c r="C188" s="24">
        <v>50.0</v>
      </c>
      <c r="D188" s="105" t="s">
        <v>118</v>
      </c>
      <c r="E188" s="106" t="s">
        <v>226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104" t="s">
        <v>63</v>
      </c>
      <c r="B189" s="21">
        <v>2018.0</v>
      </c>
      <c r="C189" s="24">
        <v>30.0</v>
      </c>
      <c r="D189" s="105" t="s">
        <v>118</v>
      </c>
      <c r="E189" s="106" t="s">
        <v>227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104" t="s">
        <v>63</v>
      </c>
      <c r="B190" s="21">
        <v>2019.0</v>
      </c>
      <c r="C190" s="24">
        <v>100.0</v>
      </c>
      <c r="D190" s="107" t="s">
        <v>121</v>
      </c>
      <c r="E190" s="106" t="s">
        <v>228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104" t="s">
        <v>229</v>
      </c>
      <c r="B191" s="21">
        <v>1990.0</v>
      </c>
      <c r="C191" s="24">
        <v>16000.0</v>
      </c>
      <c r="D191" s="105" t="s">
        <v>118</v>
      </c>
      <c r="E191" s="106" t="s">
        <v>230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104" t="s">
        <v>229</v>
      </c>
      <c r="B192" s="21">
        <v>1990.0</v>
      </c>
      <c r="C192" s="24">
        <v>15000.0</v>
      </c>
      <c r="D192" s="105" t="s">
        <v>118</v>
      </c>
      <c r="E192" s="106" t="s">
        <v>231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104" t="s">
        <v>229</v>
      </c>
      <c r="B193" s="21">
        <v>1992.0</v>
      </c>
      <c r="C193" s="24">
        <v>6000.0</v>
      </c>
      <c r="D193" s="105" t="s">
        <v>118</v>
      </c>
      <c r="E193" s="106" t="s">
        <v>232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104" t="s">
        <v>229</v>
      </c>
      <c r="B194" s="21">
        <v>1993.0</v>
      </c>
      <c r="C194" s="24">
        <v>6000.0</v>
      </c>
      <c r="D194" s="105" t="s">
        <v>118</v>
      </c>
      <c r="E194" s="106" t="s">
        <v>233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104" t="s">
        <v>229</v>
      </c>
      <c r="B195" s="21">
        <v>1994.0</v>
      </c>
      <c r="C195" s="24">
        <v>1000.0</v>
      </c>
      <c r="D195" s="105" t="s">
        <v>118</v>
      </c>
      <c r="E195" s="106" t="s">
        <v>234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104" t="s">
        <v>229</v>
      </c>
      <c r="B196" s="21">
        <v>1996.0</v>
      </c>
      <c r="C196" s="24">
        <v>400.0</v>
      </c>
      <c r="D196" s="105" t="s">
        <v>118</v>
      </c>
      <c r="E196" s="106" t="s">
        <v>235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104" t="s">
        <v>229</v>
      </c>
      <c r="B197" s="21">
        <v>1996.0</v>
      </c>
      <c r="C197" s="24">
        <v>4000.0</v>
      </c>
      <c r="D197" s="105" t="s">
        <v>118</v>
      </c>
      <c r="E197" s="106" t="s">
        <v>236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104" t="s">
        <v>229</v>
      </c>
      <c r="B198" s="21">
        <v>1997.0</v>
      </c>
      <c r="C198" s="24">
        <v>5000.0</v>
      </c>
      <c r="D198" s="105" t="s">
        <v>118</v>
      </c>
      <c r="E198" s="106" t="s">
        <v>152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104" t="s">
        <v>229</v>
      </c>
      <c r="B199" s="21">
        <v>1997.0</v>
      </c>
      <c r="C199" s="24">
        <v>15000.0</v>
      </c>
      <c r="D199" s="107" t="s">
        <v>121</v>
      </c>
      <c r="E199" s="106" t="s">
        <v>237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104" t="s">
        <v>229</v>
      </c>
      <c r="B200" s="21">
        <v>1997.0</v>
      </c>
      <c r="C200" s="24">
        <v>2000.0</v>
      </c>
      <c r="D200" s="108" t="s">
        <v>127</v>
      </c>
      <c r="E200" s="106" t="s">
        <v>238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104" t="s">
        <v>229</v>
      </c>
      <c r="B201" s="21">
        <v>1998.0</v>
      </c>
      <c r="C201" s="24">
        <v>1000.0</v>
      </c>
      <c r="D201" s="105" t="s">
        <v>118</v>
      </c>
      <c r="E201" s="106" t="s">
        <v>239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104" t="s">
        <v>229</v>
      </c>
      <c r="B202" s="21">
        <v>1998.0</v>
      </c>
      <c r="C202" s="24">
        <v>12000.0</v>
      </c>
      <c r="D202" s="105" t="s">
        <v>118</v>
      </c>
      <c r="E202" s="106" t="s">
        <v>240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104" t="s">
        <v>229</v>
      </c>
      <c r="B203" s="21">
        <v>1999.0</v>
      </c>
      <c r="C203" s="24">
        <v>10000.0</v>
      </c>
      <c r="D203" s="105" t="s">
        <v>118</v>
      </c>
      <c r="E203" s="106" t="s">
        <v>241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104" t="s">
        <v>229</v>
      </c>
      <c r="B204" s="21">
        <v>2000.0</v>
      </c>
      <c r="C204" s="24">
        <v>7000.0</v>
      </c>
      <c r="D204" s="105" t="s">
        <v>118</v>
      </c>
      <c r="E204" s="106" t="s">
        <v>241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104" t="s">
        <v>229</v>
      </c>
      <c r="B205" s="21">
        <v>2000.0</v>
      </c>
      <c r="C205" s="24">
        <v>3000.0</v>
      </c>
      <c r="D205" s="105" t="s">
        <v>118</v>
      </c>
      <c r="E205" s="106" t="s">
        <v>242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104" t="s">
        <v>229</v>
      </c>
      <c r="B206" s="21">
        <v>2000.0</v>
      </c>
      <c r="C206" s="24">
        <v>1000.0</v>
      </c>
      <c r="D206" s="105" t="s">
        <v>118</v>
      </c>
      <c r="E206" s="106" t="s">
        <v>243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104" t="s">
        <v>229</v>
      </c>
      <c r="B207" s="21">
        <v>2001.0</v>
      </c>
      <c r="C207" s="24">
        <v>7000.0</v>
      </c>
      <c r="D207" s="105" t="s">
        <v>118</v>
      </c>
      <c r="E207" s="106" t="s">
        <v>244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104" t="s">
        <v>229</v>
      </c>
      <c r="B208" s="21">
        <v>2001.0</v>
      </c>
      <c r="C208" s="24">
        <v>7500.0</v>
      </c>
      <c r="D208" s="105" t="s">
        <v>118</v>
      </c>
      <c r="E208" s="106" t="s">
        <v>245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104" t="s">
        <v>229</v>
      </c>
      <c r="B209" s="21">
        <v>2002.0</v>
      </c>
      <c r="C209" s="24">
        <v>3500.0</v>
      </c>
      <c r="D209" s="105" t="s">
        <v>118</v>
      </c>
      <c r="E209" s="106" t="s">
        <v>246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104" t="s">
        <v>229</v>
      </c>
      <c r="B210" s="21">
        <v>2002.0</v>
      </c>
      <c r="C210" s="24">
        <v>1000.0</v>
      </c>
      <c r="D210" s="105" t="s">
        <v>118</v>
      </c>
      <c r="E210" s="106" t="s">
        <v>247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104" t="s">
        <v>59</v>
      </c>
      <c r="B211" s="21">
        <v>1996.0</v>
      </c>
      <c r="C211" s="24">
        <v>3000.0</v>
      </c>
      <c r="D211" s="105" t="s">
        <v>118</v>
      </c>
      <c r="E211" s="106" t="s">
        <v>119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104" t="s">
        <v>59</v>
      </c>
      <c r="B212" s="21">
        <v>1997.0</v>
      </c>
      <c r="C212" s="24">
        <v>2000.0</v>
      </c>
      <c r="D212" s="105" t="s">
        <v>118</v>
      </c>
      <c r="E212" s="106" t="s">
        <v>119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104" t="s">
        <v>59</v>
      </c>
      <c r="B213" s="21">
        <v>1998.0</v>
      </c>
      <c r="C213" s="24">
        <v>1750.0</v>
      </c>
      <c r="D213" s="105" t="s">
        <v>118</v>
      </c>
      <c r="E213" s="106" t="s">
        <v>119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104" t="s">
        <v>59</v>
      </c>
      <c r="B214" s="21">
        <v>1999.0</v>
      </c>
      <c r="C214" s="24">
        <v>1500.0</v>
      </c>
      <c r="D214" s="105" t="s">
        <v>118</v>
      </c>
      <c r="E214" s="106" t="s">
        <v>119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104" t="s">
        <v>59</v>
      </c>
      <c r="B215" s="21">
        <v>2000.0</v>
      </c>
      <c r="C215" s="24">
        <v>1000.0</v>
      </c>
      <c r="D215" s="105" t="s">
        <v>118</v>
      </c>
      <c r="E215" s="106" t="s">
        <v>119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104" t="s">
        <v>59</v>
      </c>
      <c r="B216" s="21">
        <v>2000.0</v>
      </c>
      <c r="C216" s="24">
        <v>800.0</v>
      </c>
      <c r="D216" s="105" t="s">
        <v>118</v>
      </c>
      <c r="E216" s="106" t="s">
        <v>200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104" t="s">
        <v>59</v>
      </c>
      <c r="B217" s="21">
        <v>2000.0</v>
      </c>
      <c r="C217" s="24">
        <v>2000.0</v>
      </c>
      <c r="D217" s="105" t="s">
        <v>118</v>
      </c>
      <c r="E217" s="106" t="s">
        <v>120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104" t="s">
        <v>59</v>
      </c>
      <c r="B218" s="21">
        <v>2001.0</v>
      </c>
      <c r="C218" s="24">
        <v>2000.0</v>
      </c>
      <c r="D218" s="105" t="s">
        <v>118</v>
      </c>
      <c r="E218" s="106" t="s">
        <v>248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104" t="s">
        <v>59</v>
      </c>
      <c r="B219" s="21">
        <v>2001.0</v>
      </c>
      <c r="C219" s="24">
        <v>2500.0</v>
      </c>
      <c r="D219" s="105" t="s">
        <v>118</v>
      </c>
      <c r="E219" s="106" t="s">
        <v>120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104" t="s">
        <v>59</v>
      </c>
      <c r="B220" s="21">
        <v>2002.0</v>
      </c>
      <c r="C220" s="24">
        <v>4000.0</v>
      </c>
      <c r="D220" s="105" t="s">
        <v>118</v>
      </c>
      <c r="E220" s="106" t="s">
        <v>119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104" t="s">
        <v>59</v>
      </c>
      <c r="B221" s="21">
        <v>2003.0</v>
      </c>
      <c r="C221" s="24">
        <v>10000.0</v>
      </c>
      <c r="D221" s="105" t="s">
        <v>118</v>
      </c>
      <c r="E221" s="106" t="s">
        <v>119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104" t="s">
        <v>59</v>
      </c>
      <c r="B222" s="21">
        <v>2003.0</v>
      </c>
      <c r="C222" s="24">
        <v>3500.0</v>
      </c>
      <c r="D222" s="108" t="s">
        <v>127</v>
      </c>
      <c r="E222" s="106" t="s">
        <v>249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104" t="s">
        <v>59</v>
      </c>
      <c r="B223" s="21">
        <v>2004.0</v>
      </c>
      <c r="C223" s="24">
        <v>5000.0</v>
      </c>
      <c r="D223" s="105" t="s">
        <v>118</v>
      </c>
      <c r="E223" s="106" t="s">
        <v>119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104" t="s">
        <v>59</v>
      </c>
      <c r="B224" s="21">
        <v>2005.0</v>
      </c>
      <c r="C224" s="24">
        <v>500.0</v>
      </c>
      <c r="D224" s="105" t="s">
        <v>118</v>
      </c>
      <c r="E224" s="106" t="s">
        <v>163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104" t="s">
        <v>59</v>
      </c>
      <c r="B225" s="21">
        <v>2006.0</v>
      </c>
      <c r="C225" s="24">
        <v>50.0</v>
      </c>
      <c r="D225" s="105" t="s">
        <v>118</v>
      </c>
      <c r="E225" s="106" t="s">
        <v>250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104" t="s">
        <v>59</v>
      </c>
      <c r="B226" s="21">
        <v>2007.0</v>
      </c>
      <c r="C226" s="24">
        <v>800.0</v>
      </c>
      <c r="D226" s="105" t="s">
        <v>118</v>
      </c>
      <c r="E226" s="106" t="s">
        <v>162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104" t="s">
        <v>59</v>
      </c>
      <c r="B227" s="21">
        <v>2007.0</v>
      </c>
      <c r="C227" s="24">
        <v>1000.0</v>
      </c>
      <c r="D227" s="105" t="s">
        <v>118</v>
      </c>
      <c r="E227" s="106" t="s">
        <v>163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104" t="s">
        <v>59</v>
      </c>
      <c r="B228" s="21">
        <v>2008.0</v>
      </c>
      <c r="C228" s="24">
        <v>300.0</v>
      </c>
      <c r="D228" s="105" t="s">
        <v>118</v>
      </c>
      <c r="E228" s="106" t="s">
        <v>251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104" t="s">
        <v>59</v>
      </c>
      <c r="B229" s="21">
        <v>2009.0</v>
      </c>
      <c r="C229" s="24">
        <v>300.0</v>
      </c>
      <c r="D229" s="105" t="s">
        <v>118</v>
      </c>
      <c r="E229" s="106" t="s">
        <v>120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104" t="s">
        <v>59</v>
      </c>
      <c r="B230" s="21">
        <v>2010.0</v>
      </c>
      <c r="C230" s="24">
        <v>50.0</v>
      </c>
      <c r="D230" s="105" t="s">
        <v>118</v>
      </c>
      <c r="E230" s="106" t="s">
        <v>120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104" t="s">
        <v>59</v>
      </c>
      <c r="B231" s="21">
        <v>2016.0</v>
      </c>
      <c r="C231" s="24">
        <v>250.0</v>
      </c>
      <c r="D231" s="105" t="s">
        <v>118</v>
      </c>
      <c r="E231" s="106" t="s">
        <v>120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104" t="s">
        <v>59</v>
      </c>
      <c r="B232" s="21">
        <v>2017.0</v>
      </c>
      <c r="C232" s="24">
        <v>250.0</v>
      </c>
      <c r="D232" s="107" t="s">
        <v>121</v>
      </c>
      <c r="E232" s="106" t="s">
        <v>252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104" t="s">
        <v>59</v>
      </c>
      <c r="B233" s="21">
        <v>2018.0</v>
      </c>
      <c r="C233" s="24">
        <v>200.0</v>
      </c>
      <c r="D233" s="107" t="s">
        <v>121</v>
      </c>
      <c r="E233" s="106" t="s">
        <v>252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104" t="s">
        <v>59</v>
      </c>
      <c r="B234" s="21">
        <v>2019.0</v>
      </c>
      <c r="C234" s="24">
        <v>200.0</v>
      </c>
      <c r="D234" s="107" t="s">
        <v>121</v>
      </c>
      <c r="E234" s="106" t="s">
        <v>252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104" t="s">
        <v>58</v>
      </c>
      <c r="B235" s="21">
        <v>1996.0</v>
      </c>
      <c r="C235" s="24">
        <v>10000.0</v>
      </c>
      <c r="D235" s="105" t="s">
        <v>118</v>
      </c>
      <c r="E235" s="106" t="s">
        <v>119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104" t="s">
        <v>58</v>
      </c>
      <c r="B236" s="21">
        <v>1997.0</v>
      </c>
      <c r="C236" s="24">
        <v>9000.0</v>
      </c>
      <c r="D236" s="105" t="s">
        <v>118</v>
      </c>
      <c r="E236" s="106" t="s">
        <v>253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104" t="s">
        <v>58</v>
      </c>
      <c r="B237" s="21">
        <v>1998.0</v>
      </c>
      <c r="C237" s="24">
        <v>3000.0</v>
      </c>
      <c r="D237" s="105" t="s">
        <v>118</v>
      </c>
      <c r="E237" s="106" t="s">
        <v>123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104" t="s">
        <v>58</v>
      </c>
      <c r="B238" s="21">
        <v>1998.0</v>
      </c>
      <c r="C238" s="24">
        <v>6000.0</v>
      </c>
      <c r="D238" s="108" t="s">
        <v>127</v>
      </c>
      <c r="E238" s="106" t="s">
        <v>119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104" t="s">
        <v>58</v>
      </c>
      <c r="B239" s="21">
        <v>1998.0</v>
      </c>
      <c r="C239" s="24">
        <v>11000.0</v>
      </c>
      <c r="D239" s="107" t="s">
        <v>121</v>
      </c>
      <c r="E239" s="106" t="s">
        <v>119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104" t="s">
        <v>58</v>
      </c>
      <c r="B240" s="21">
        <v>1999.0</v>
      </c>
      <c r="C240" s="24">
        <v>12000.0</v>
      </c>
      <c r="D240" s="105" t="s">
        <v>118</v>
      </c>
      <c r="E240" s="106" t="s">
        <v>155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104" t="s">
        <v>58</v>
      </c>
      <c r="B241" s="21">
        <v>1999.0</v>
      </c>
      <c r="C241" s="24">
        <v>15000.0</v>
      </c>
      <c r="D241" s="105" t="s">
        <v>118</v>
      </c>
      <c r="E241" s="106" t="s">
        <v>119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104" t="s">
        <v>58</v>
      </c>
      <c r="B242" s="21">
        <v>1999.0</v>
      </c>
      <c r="C242" s="24">
        <v>15000.0</v>
      </c>
      <c r="D242" s="105" t="s">
        <v>118</v>
      </c>
      <c r="E242" s="106" t="s">
        <v>254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104" t="s">
        <v>58</v>
      </c>
      <c r="B243" s="21">
        <v>2000.0</v>
      </c>
      <c r="C243" s="24">
        <v>5000.0</v>
      </c>
      <c r="D243" s="108" t="s">
        <v>127</v>
      </c>
      <c r="E243" s="106" t="s">
        <v>119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104" t="s">
        <v>58</v>
      </c>
      <c r="B244" s="21">
        <v>2000.0</v>
      </c>
      <c r="C244" s="24">
        <v>20000.0</v>
      </c>
      <c r="D244" s="107" t="s">
        <v>121</v>
      </c>
      <c r="E244" s="106" t="s">
        <v>119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104" t="s">
        <v>58</v>
      </c>
      <c r="B245" s="21">
        <v>2000.0</v>
      </c>
      <c r="C245" s="24">
        <v>15000.0</v>
      </c>
      <c r="D245" s="105" t="s">
        <v>118</v>
      </c>
      <c r="E245" s="106" t="s">
        <v>119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104" t="s">
        <v>58</v>
      </c>
      <c r="B246" s="21">
        <v>2001.0</v>
      </c>
      <c r="C246" s="24">
        <v>6000.0</v>
      </c>
      <c r="D246" s="105" t="s">
        <v>118</v>
      </c>
      <c r="E246" s="106" t="s">
        <v>248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104" t="s">
        <v>58</v>
      </c>
      <c r="B247" s="21">
        <v>2001.0</v>
      </c>
      <c r="C247" s="24">
        <v>5000.0</v>
      </c>
      <c r="D247" s="105" t="s">
        <v>118</v>
      </c>
      <c r="E247" s="106" t="s">
        <v>120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104" t="s">
        <v>58</v>
      </c>
      <c r="B248" s="21">
        <v>2002.0</v>
      </c>
      <c r="C248" s="24">
        <v>8000.0</v>
      </c>
      <c r="D248" s="105" t="s">
        <v>118</v>
      </c>
      <c r="E248" s="106" t="s">
        <v>125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104" t="s">
        <v>58</v>
      </c>
      <c r="B249" s="21">
        <v>2002.0</v>
      </c>
      <c r="C249" s="24">
        <v>11000.0</v>
      </c>
      <c r="D249" s="105" t="s">
        <v>118</v>
      </c>
      <c r="E249" s="106" t="s">
        <v>255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104" t="s">
        <v>58</v>
      </c>
      <c r="B250" s="21">
        <v>2003.0</v>
      </c>
      <c r="C250" s="24">
        <v>3500.0</v>
      </c>
      <c r="D250" s="105" t="s">
        <v>118</v>
      </c>
      <c r="E250" s="106" t="s">
        <v>119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104" t="s">
        <v>58</v>
      </c>
      <c r="B251" s="21">
        <v>2004.0</v>
      </c>
      <c r="C251" s="24">
        <v>3500.0</v>
      </c>
      <c r="D251" s="105" t="s">
        <v>118</v>
      </c>
      <c r="E251" s="106" t="s">
        <v>126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104" t="s">
        <v>58</v>
      </c>
      <c r="B252" s="21">
        <v>2005.0</v>
      </c>
      <c r="C252" s="24">
        <v>0.0</v>
      </c>
      <c r="D252" s="108" t="s">
        <v>194</v>
      </c>
      <c r="E252" s="106" t="s">
        <v>256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104" t="s">
        <v>58</v>
      </c>
      <c r="B253" s="21">
        <v>2006.0</v>
      </c>
      <c r="C253" s="24">
        <v>0.0</v>
      </c>
      <c r="D253" s="108" t="s">
        <v>194</v>
      </c>
      <c r="E253" s="106" t="s">
        <v>256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104" t="s">
        <v>58</v>
      </c>
      <c r="B254" s="21">
        <v>2007.0</v>
      </c>
      <c r="C254" s="24">
        <v>3000.0</v>
      </c>
      <c r="D254" s="108" t="s">
        <v>127</v>
      </c>
      <c r="E254" s="106" t="s">
        <v>127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104" t="s">
        <v>58</v>
      </c>
      <c r="B255" s="21">
        <v>2007.0</v>
      </c>
      <c r="C255" s="24">
        <v>5000.0</v>
      </c>
      <c r="D255" s="105" t="s">
        <v>118</v>
      </c>
      <c r="E255" s="106" t="s">
        <v>162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104" t="s">
        <v>58</v>
      </c>
      <c r="B256" s="21">
        <v>2007.0</v>
      </c>
      <c r="C256" s="24">
        <v>15000.0</v>
      </c>
      <c r="D256" s="107" t="s">
        <v>121</v>
      </c>
      <c r="E256" s="106" t="s">
        <v>257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104" t="s">
        <v>58</v>
      </c>
      <c r="B257" s="21">
        <v>2008.0</v>
      </c>
      <c r="C257" s="24">
        <v>10000.0</v>
      </c>
      <c r="D257" s="108" t="s">
        <v>127</v>
      </c>
      <c r="E257" s="106" t="s">
        <v>130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104" t="s">
        <v>58</v>
      </c>
      <c r="B258" s="21">
        <v>2008.0</v>
      </c>
      <c r="C258" s="24">
        <v>12000.0</v>
      </c>
      <c r="D258" s="107" t="s">
        <v>121</v>
      </c>
      <c r="E258" s="106" t="s">
        <v>258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104" t="s">
        <v>58</v>
      </c>
      <c r="B259" s="21">
        <v>2009.0</v>
      </c>
      <c r="C259" s="24">
        <v>5000.0</v>
      </c>
      <c r="D259" s="108" t="s">
        <v>127</v>
      </c>
      <c r="E259" s="106" t="s">
        <v>259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104" t="s">
        <v>58</v>
      </c>
      <c r="B260" s="21">
        <v>2009.0</v>
      </c>
      <c r="C260" s="24">
        <v>12000.0</v>
      </c>
      <c r="D260" s="107" t="s">
        <v>121</v>
      </c>
      <c r="E260" s="106" t="s">
        <v>260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104" t="s">
        <v>58</v>
      </c>
      <c r="B261" s="21">
        <v>2010.0</v>
      </c>
      <c r="C261" s="24">
        <v>10000.0</v>
      </c>
      <c r="D261" s="108" t="s">
        <v>127</v>
      </c>
      <c r="E261" s="106" t="s">
        <v>261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104" t="s">
        <v>58</v>
      </c>
      <c r="B262" s="21">
        <v>2010.0</v>
      </c>
      <c r="C262" s="24">
        <v>15000.0</v>
      </c>
      <c r="D262" s="107" t="s">
        <v>121</v>
      </c>
      <c r="E262" s="106" t="s">
        <v>262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104" t="s">
        <v>58</v>
      </c>
      <c r="B263" s="21">
        <v>2011.0</v>
      </c>
      <c r="C263" s="24">
        <v>10000.0</v>
      </c>
      <c r="D263" s="105" t="s">
        <v>118</v>
      </c>
      <c r="E263" s="106" t="s">
        <v>120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104" t="s">
        <v>58</v>
      </c>
      <c r="B264" s="21">
        <v>2011.0</v>
      </c>
      <c r="C264" s="24">
        <v>9000.0</v>
      </c>
      <c r="D264" s="108" t="s">
        <v>127</v>
      </c>
      <c r="E264" s="106" t="s">
        <v>263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104" t="s">
        <v>58</v>
      </c>
      <c r="B265" s="21">
        <v>2011.0</v>
      </c>
      <c r="C265" s="24">
        <v>15000.0</v>
      </c>
      <c r="D265" s="107" t="s">
        <v>121</v>
      </c>
      <c r="E265" s="106" t="s">
        <v>126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104" t="s">
        <v>58</v>
      </c>
      <c r="B266" s="21">
        <v>2012.0</v>
      </c>
      <c r="C266" s="24">
        <v>12000.0</v>
      </c>
      <c r="D266" s="105" t="s">
        <v>118</v>
      </c>
      <c r="E266" s="106" t="s">
        <v>120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104" t="s">
        <v>58</v>
      </c>
      <c r="B267" s="21">
        <v>2012.0</v>
      </c>
      <c r="C267" s="24">
        <v>25000.0</v>
      </c>
      <c r="D267" s="107" t="s">
        <v>121</v>
      </c>
      <c r="E267" s="106" t="s">
        <v>264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104" t="s">
        <v>58</v>
      </c>
      <c r="B268" s="21">
        <v>2013.0</v>
      </c>
      <c r="C268" s="24">
        <v>10000.0</v>
      </c>
      <c r="D268" s="105" t="s">
        <v>118</v>
      </c>
      <c r="E268" s="106" t="s">
        <v>187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104" t="s">
        <v>58</v>
      </c>
      <c r="B269" s="21">
        <v>2013.0</v>
      </c>
      <c r="C269" s="24">
        <v>17000.0</v>
      </c>
      <c r="D269" s="107" t="s">
        <v>121</v>
      </c>
      <c r="E269" s="106" t="s">
        <v>265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104" t="s">
        <v>58</v>
      </c>
      <c r="B270" s="21">
        <v>2013.0</v>
      </c>
      <c r="C270" s="24">
        <v>8000.0</v>
      </c>
      <c r="D270" s="108" t="s">
        <v>127</v>
      </c>
      <c r="E270" s="106" t="s">
        <v>266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104" t="s">
        <v>58</v>
      </c>
      <c r="B271" s="21">
        <v>2014.0</v>
      </c>
      <c r="C271" s="24">
        <v>19000.0</v>
      </c>
      <c r="D271" s="108" t="s">
        <v>127</v>
      </c>
      <c r="E271" s="106" t="s">
        <v>127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104" t="s">
        <v>58</v>
      </c>
      <c r="B272" s="21">
        <v>2014.0</v>
      </c>
      <c r="C272" s="24">
        <v>25000.0</v>
      </c>
      <c r="D272" s="107" t="s">
        <v>121</v>
      </c>
      <c r="E272" s="106" t="s">
        <v>121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104" t="s">
        <v>58</v>
      </c>
      <c r="B273" s="21">
        <v>2015.0</v>
      </c>
      <c r="C273" s="24">
        <v>18000.0</v>
      </c>
      <c r="D273" s="108" t="s">
        <v>127</v>
      </c>
      <c r="E273" s="106" t="s">
        <v>267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104" t="s">
        <v>58</v>
      </c>
      <c r="B274" s="21">
        <v>2015.0</v>
      </c>
      <c r="C274" s="24">
        <v>33000.0</v>
      </c>
      <c r="D274" s="107" t="s">
        <v>121</v>
      </c>
      <c r="E274" s="106" t="s">
        <v>268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104" t="s">
        <v>58</v>
      </c>
      <c r="B275" s="21">
        <v>2016.0</v>
      </c>
      <c r="C275" s="24">
        <v>13000.0</v>
      </c>
      <c r="D275" s="108" t="s">
        <v>127</v>
      </c>
      <c r="E275" s="106" t="s">
        <v>269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104" t="s">
        <v>58</v>
      </c>
      <c r="B276" s="21">
        <v>2016.0</v>
      </c>
      <c r="C276" s="24">
        <v>20000.0</v>
      </c>
      <c r="D276" s="107" t="s">
        <v>121</v>
      </c>
      <c r="E276" s="106" t="s">
        <v>270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104" t="s">
        <v>58</v>
      </c>
      <c r="B277" s="21">
        <v>2017.0</v>
      </c>
      <c r="C277" s="24">
        <v>10000.0</v>
      </c>
      <c r="D277" s="108" t="s">
        <v>127</v>
      </c>
      <c r="E277" s="106" t="s">
        <v>271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104" t="s">
        <v>58</v>
      </c>
      <c r="B278" s="21">
        <v>2017.0</v>
      </c>
      <c r="C278" s="24">
        <v>20000.0</v>
      </c>
      <c r="D278" s="107" t="s">
        <v>121</v>
      </c>
      <c r="E278" s="106" t="s">
        <v>272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104" t="s">
        <v>58</v>
      </c>
      <c r="B279" s="21">
        <v>2018.0</v>
      </c>
      <c r="C279" s="24">
        <v>7000.0</v>
      </c>
      <c r="D279" s="108" t="s">
        <v>127</v>
      </c>
      <c r="E279" s="106" t="s">
        <v>271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104" t="s">
        <v>58</v>
      </c>
      <c r="B280" s="21">
        <v>2018.0</v>
      </c>
      <c r="C280" s="24">
        <v>18000.0</v>
      </c>
      <c r="D280" s="107" t="s">
        <v>121</v>
      </c>
      <c r="E280" s="106" t="s">
        <v>273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104" t="s">
        <v>58</v>
      </c>
      <c r="B281" s="21">
        <v>2019.0</v>
      </c>
      <c r="C281" s="24">
        <v>15000.0</v>
      </c>
      <c r="D281" s="107" t="s">
        <v>121</v>
      </c>
      <c r="E281" s="106" t="s">
        <v>273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104" t="s">
        <v>58</v>
      </c>
      <c r="B282" s="21">
        <v>2019.0</v>
      </c>
      <c r="C282" s="24">
        <v>10000.0</v>
      </c>
      <c r="D282" s="105" t="s">
        <v>118</v>
      </c>
      <c r="E282" s="106" t="s">
        <v>274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104" t="s">
        <v>58</v>
      </c>
      <c r="B283" s="21">
        <v>2019.0</v>
      </c>
      <c r="C283" s="24">
        <v>5000.0</v>
      </c>
      <c r="D283" s="108" t="s">
        <v>127</v>
      </c>
      <c r="E283" s="106" t="s">
        <v>275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104" t="s">
        <v>58</v>
      </c>
      <c r="B284" s="21">
        <v>2020.0</v>
      </c>
      <c r="C284" s="24">
        <v>3000.0</v>
      </c>
      <c r="D284" s="108" t="s">
        <v>127</v>
      </c>
      <c r="E284" s="106" t="s">
        <v>276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104" t="s">
        <v>58</v>
      </c>
      <c r="B285" s="21">
        <v>2020.0</v>
      </c>
      <c r="C285" s="24">
        <v>3000.0</v>
      </c>
      <c r="D285" s="107" t="s">
        <v>121</v>
      </c>
      <c r="E285" s="106" t="s">
        <v>276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104" t="s">
        <v>58</v>
      </c>
      <c r="B286" s="21">
        <v>2021.0</v>
      </c>
      <c r="C286" s="24">
        <v>9000.0</v>
      </c>
      <c r="D286" s="108" t="s">
        <v>127</v>
      </c>
      <c r="E286" s="106" t="s">
        <v>277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104" t="s">
        <v>58</v>
      </c>
      <c r="B287" s="21">
        <v>2021.0</v>
      </c>
      <c r="C287" s="24">
        <v>20000.0</v>
      </c>
      <c r="D287" s="107" t="s">
        <v>121</v>
      </c>
      <c r="E287" s="106" t="s">
        <v>278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104" t="s">
        <v>58</v>
      </c>
      <c r="B288" s="21">
        <v>2022.0</v>
      </c>
      <c r="C288" s="24">
        <v>14000.0</v>
      </c>
      <c r="D288" s="108" t="s">
        <v>127</v>
      </c>
      <c r="E288" s="106" t="s">
        <v>277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104" t="s">
        <v>58</v>
      </c>
      <c r="B289" s="21">
        <v>2022.0</v>
      </c>
      <c r="C289" s="24">
        <v>20000.0</v>
      </c>
      <c r="D289" s="107" t="s">
        <v>121</v>
      </c>
      <c r="E289" s="106" t="s">
        <v>279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104" t="s">
        <v>58</v>
      </c>
      <c r="B290" s="21">
        <v>2023.0</v>
      </c>
      <c r="C290" s="24">
        <v>12000.0</v>
      </c>
      <c r="D290" s="108" t="s">
        <v>127</v>
      </c>
      <c r="E290" s="106" t="s">
        <v>280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104" t="s">
        <v>58</v>
      </c>
      <c r="B291" s="21">
        <v>2023.0</v>
      </c>
      <c r="C291" s="24">
        <v>20000.0</v>
      </c>
      <c r="D291" s="107" t="s">
        <v>121</v>
      </c>
      <c r="E291" s="106" t="s">
        <v>279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104" t="s">
        <v>58</v>
      </c>
      <c r="B292" s="21">
        <v>2024.0</v>
      </c>
      <c r="C292" s="24">
        <v>11800.0</v>
      </c>
      <c r="D292" s="108" t="s">
        <v>127</v>
      </c>
      <c r="E292" s="106" t="s">
        <v>197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104" t="s">
        <v>58</v>
      </c>
      <c r="B293" s="21">
        <v>2024.0</v>
      </c>
      <c r="C293" s="24">
        <v>25000.0</v>
      </c>
      <c r="D293" s="107" t="s">
        <v>121</v>
      </c>
      <c r="E293" s="106" t="s">
        <v>281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104" t="s">
        <v>58</v>
      </c>
      <c r="B294" s="21">
        <v>2024.0</v>
      </c>
      <c r="C294" s="24">
        <v>15000.0</v>
      </c>
      <c r="D294" s="105" t="s">
        <v>118</v>
      </c>
      <c r="E294" s="106" t="s">
        <v>262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104" t="s">
        <v>58</v>
      </c>
      <c r="B295" s="21">
        <v>2025.0</v>
      </c>
      <c r="C295" s="24">
        <v>22000.0</v>
      </c>
      <c r="D295" s="108" t="s">
        <v>127</v>
      </c>
      <c r="E295" s="106" t="s">
        <v>280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104" t="s">
        <v>58</v>
      </c>
      <c r="B296" s="21">
        <v>2025.0</v>
      </c>
      <c r="C296" s="24">
        <v>30000.0</v>
      </c>
      <c r="D296" s="107" t="s">
        <v>121</v>
      </c>
      <c r="E296" s="106" t="s">
        <v>282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104" t="s">
        <v>58</v>
      </c>
      <c r="B297" s="21">
        <v>2026.0</v>
      </c>
      <c r="C297" s="24">
        <v>30000.0</v>
      </c>
      <c r="D297" s="107" t="s">
        <v>121</v>
      </c>
      <c r="E297" s="106" t="s">
        <v>282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104" t="s">
        <v>58</v>
      </c>
      <c r="B298" s="21">
        <v>2026.0</v>
      </c>
      <c r="C298" s="24">
        <v>11000.0</v>
      </c>
      <c r="D298" s="108" t="s">
        <v>127</v>
      </c>
      <c r="E298" s="106" t="s">
        <v>127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104" t="s">
        <v>57</v>
      </c>
      <c r="B299" s="21">
        <v>1988.0</v>
      </c>
      <c r="C299" s="24">
        <v>7000.0</v>
      </c>
      <c r="D299" s="105" t="s">
        <v>118</v>
      </c>
      <c r="E299" s="106" t="s">
        <v>119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104" t="s">
        <v>57</v>
      </c>
      <c r="B300" s="21">
        <v>1989.0</v>
      </c>
      <c r="C300" s="24">
        <v>10000.0</v>
      </c>
      <c r="D300" s="105" t="s">
        <v>118</v>
      </c>
      <c r="E300" s="106" t="s">
        <v>119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104" t="s">
        <v>57</v>
      </c>
      <c r="B301" s="21">
        <v>1990.0</v>
      </c>
      <c r="C301" s="24">
        <v>10000.0</v>
      </c>
      <c r="D301" s="108" t="s">
        <v>127</v>
      </c>
      <c r="E301" s="106" t="s">
        <v>283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104" t="s">
        <v>57</v>
      </c>
      <c r="B302" s="21">
        <v>1990.0</v>
      </c>
      <c r="C302" s="24">
        <v>15000.0</v>
      </c>
      <c r="D302" s="107" t="s">
        <v>121</v>
      </c>
      <c r="E302" s="106" t="s">
        <v>284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104" t="s">
        <v>57</v>
      </c>
      <c r="B303" s="21">
        <v>1991.0</v>
      </c>
      <c r="C303" s="24">
        <v>10000.0</v>
      </c>
      <c r="D303" s="108" t="s">
        <v>194</v>
      </c>
      <c r="E303" s="106" t="s">
        <v>119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104" t="s">
        <v>57</v>
      </c>
      <c r="B304" s="21">
        <v>1991.0</v>
      </c>
      <c r="C304" s="24">
        <v>8000.0</v>
      </c>
      <c r="D304" s="108" t="s">
        <v>127</v>
      </c>
      <c r="E304" s="106" t="s">
        <v>119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104" t="s">
        <v>57</v>
      </c>
      <c r="B305" s="21">
        <v>1991.0</v>
      </c>
      <c r="C305" s="24">
        <v>20000.0</v>
      </c>
      <c r="D305" s="107" t="s">
        <v>121</v>
      </c>
      <c r="E305" s="106" t="s">
        <v>119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104" t="s">
        <v>57</v>
      </c>
      <c r="B306" s="21">
        <v>1992.0</v>
      </c>
      <c r="C306" s="24">
        <v>12000.0</v>
      </c>
      <c r="D306" s="105" t="s">
        <v>118</v>
      </c>
      <c r="E306" s="106" t="s">
        <v>119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104" t="s">
        <v>57</v>
      </c>
      <c r="B307" s="21">
        <v>1992.0</v>
      </c>
      <c r="C307" s="24">
        <v>9000.0</v>
      </c>
      <c r="D307" s="108" t="s">
        <v>127</v>
      </c>
      <c r="E307" s="106" t="s">
        <v>285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104" t="s">
        <v>57</v>
      </c>
      <c r="B308" s="21">
        <v>1992.0</v>
      </c>
      <c r="C308" s="24">
        <v>15000.0</v>
      </c>
      <c r="D308" s="105" t="s">
        <v>118</v>
      </c>
      <c r="E308" s="106" t="s">
        <v>119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104" t="s">
        <v>57</v>
      </c>
      <c r="B309" s="21">
        <v>1993.0</v>
      </c>
      <c r="C309" s="24">
        <v>5500.0</v>
      </c>
      <c r="D309" s="108" t="s">
        <v>127</v>
      </c>
      <c r="E309" s="106" t="s">
        <v>119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104" t="s">
        <v>57</v>
      </c>
      <c r="B310" s="21">
        <v>1993.0</v>
      </c>
      <c r="C310" s="24">
        <v>10000.0</v>
      </c>
      <c r="D310" s="105" t="s">
        <v>118</v>
      </c>
      <c r="E310" s="106" t="s">
        <v>119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104" t="s">
        <v>57</v>
      </c>
      <c r="B311" s="21">
        <v>1994.0</v>
      </c>
      <c r="C311" s="24">
        <v>800.0</v>
      </c>
      <c r="D311" s="105" t="s">
        <v>118</v>
      </c>
      <c r="E311" s="106" t="s">
        <v>163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104" t="s">
        <v>57</v>
      </c>
      <c r="B312" s="21">
        <v>1994.0</v>
      </c>
      <c r="C312" s="24">
        <v>1000.0</v>
      </c>
      <c r="D312" s="105" t="s">
        <v>118</v>
      </c>
      <c r="E312" s="106" t="s">
        <v>119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104" t="s">
        <v>57</v>
      </c>
      <c r="B313" s="21">
        <v>1995.0</v>
      </c>
      <c r="C313" s="24">
        <v>2500.0</v>
      </c>
      <c r="D313" s="105" t="s">
        <v>118</v>
      </c>
      <c r="E313" s="106" t="s">
        <v>163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104" t="s">
        <v>57</v>
      </c>
      <c r="B314" s="21">
        <v>1995.0</v>
      </c>
      <c r="C314" s="24">
        <v>2000.0</v>
      </c>
      <c r="D314" s="105" t="s">
        <v>118</v>
      </c>
      <c r="E314" s="106" t="s">
        <v>119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29"/>
      <c r="B315" s="30"/>
      <c r="C315" s="30"/>
      <c r="D315" s="30"/>
      <c r="E315" s="31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0" customHeight="1">
      <c r="A316" s="36" t="s">
        <v>286</v>
      </c>
      <c r="B316" s="37"/>
      <c r="C316" s="37"/>
      <c r="D316" s="37"/>
      <c r="E316" s="3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316:E316"/>
  </mergeCells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8.0"/>
    <col customWidth="1" min="3" max="3" width="14.0"/>
    <col customWidth="1" min="4" max="4" width="18.0"/>
    <col customWidth="1" min="5" max="6" width="12.0"/>
    <col customWidth="1" min="7" max="7" width="18.0"/>
    <col customWidth="1" min="8" max="8" width="20.0"/>
    <col customWidth="1" min="9" max="26" width="8.43"/>
  </cols>
  <sheetData>
    <row r="1" ht="25.5" customHeight="1">
      <c r="A1" s="39" t="s">
        <v>287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288</v>
      </c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7"/>
      <c r="B3" s="18"/>
      <c r="C3" s="18"/>
      <c r="D3" s="18"/>
      <c r="E3" s="18"/>
      <c r="F3" s="18"/>
      <c r="G3" s="18"/>
      <c r="H3" s="19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0" t="s">
        <v>114</v>
      </c>
      <c r="B4" s="40" t="s">
        <v>11</v>
      </c>
      <c r="C4" s="40" t="s">
        <v>289</v>
      </c>
      <c r="D4" s="40" t="s">
        <v>290</v>
      </c>
      <c r="E4" s="40" t="s">
        <v>291</v>
      </c>
      <c r="F4" s="40" t="s">
        <v>292</v>
      </c>
      <c r="G4" s="40" t="s">
        <v>293</v>
      </c>
      <c r="H4" s="40" t="s">
        <v>294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04" t="s">
        <v>62</v>
      </c>
      <c r="B5" s="21">
        <v>1992.0</v>
      </c>
      <c r="C5" s="24">
        <f t="array" ref="C5">IFERROR(AVERAGEIFS('Sources - Observations (Berlin)'!$C$5:$C$314,'Sources - Observations (Berlin)'!$A$5:$A$314,$A5,'Sources - Observations (Berlin)'!$B$5:$B$314,$B5,'Sources - Observations (Berlin)'!$D$5:$D$314,"press"),"")</f>
        <v>200</v>
      </c>
      <c r="D5" s="109" t="str">
        <f t="array" ref="D5">IFERROR(AVERAGEIFS('Sources - Observations (Berlin)'!$C$5:$C$314,'Sources - Observations (Berlin)'!$A$5:$A$314,$A5,'Sources - Observations (Berlin)'!$B$5:$B$314,$B5,'Sources - Observations (Berlin)'!$D$5:$D$314,"organisers"),"")</f>
        <v/>
      </c>
      <c r="E5" s="109" t="str">
        <f t="array" ref="E5">IFERROR(AVERAGEIFS('Sources - Observations (Berlin)'!$C$5:$C$314,'Sources - Observations (Berlin)'!$A$5:$A$314,$A5,'Sources - Observations (Berlin)'!$B$5:$B$314,$B5,'Sources - Observations (Berlin)'!$D$5:$D$314,"police"),"")</f>
        <v/>
      </c>
      <c r="F5" s="21">
        <f t="array" ref="F5">COUNTIFS('Sources - Observations (Berlin)'!$A$5:$A$314,$A5,'Sources - Observations (Berlin)'!$B$5:$B$314,$B5)</f>
        <v>1</v>
      </c>
      <c r="G5" s="41">
        <f t="array" ref="G5">IFERROR(AVERAGEIFS('Sources - Observations (Berlin)'!$C$5:$C$314,'Sources - Observations (Berlin)'!$A$5:$A$314,$A5,'Sources - Observations (Berlin)'!$B$5:$B$314,$B5),"")</f>
        <v>200</v>
      </c>
      <c r="H5" s="106" t="s">
        <v>295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04" t="s">
        <v>62</v>
      </c>
      <c r="B6" s="21">
        <v>1994.0</v>
      </c>
      <c r="C6" s="24">
        <f t="array" ref="C6">IFERROR(AVERAGEIFS('Sources - Observations (Berlin)'!$C$5:$C$314,'Sources - Observations (Berlin)'!$A$5:$A$314,$A6,'Sources - Observations (Berlin)'!$B$5:$B$314,$B6,'Sources - Observations (Berlin)'!$D$5:$D$314,"press"),"")</f>
        <v>450</v>
      </c>
      <c r="D6" s="109" t="str">
        <f t="array" ref="D6">IFERROR(AVERAGEIFS('Sources - Observations (Berlin)'!$C$5:$C$314,'Sources - Observations (Berlin)'!$A$5:$A$314,$A6,'Sources - Observations (Berlin)'!$B$5:$B$314,$B6,'Sources - Observations (Berlin)'!$D$5:$D$314,"organisers"),"")</f>
        <v/>
      </c>
      <c r="E6" s="109" t="str">
        <f t="array" ref="E6">IFERROR(AVERAGEIFS('Sources - Observations (Berlin)'!$C$5:$C$314,'Sources - Observations (Berlin)'!$A$5:$A$314,$A6,'Sources - Observations (Berlin)'!$B$5:$B$314,$B6,'Sources - Observations (Berlin)'!$D$5:$D$314,"police"),"")</f>
        <v/>
      </c>
      <c r="F6" s="21">
        <f t="array" ref="F6">COUNTIFS('Sources - Observations (Berlin)'!$A$5:$A$314,$A6,'Sources - Observations (Berlin)'!$B$5:$B$314,$B6)</f>
        <v>2</v>
      </c>
      <c r="G6" s="41">
        <f t="array" ref="G6">IFERROR(AVERAGEIFS('Sources - Observations (Berlin)'!$C$5:$C$314,'Sources - Observations (Berlin)'!$A$5:$A$314,$A6,'Sources - Observations (Berlin)'!$B$5:$B$314,$B6),"")</f>
        <v>450</v>
      </c>
      <c r="H6" s="106" t="s">
        <v>295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04" t="s">
        <v>62</v>
      </c>
      <c r="B7" s="21">
        <v>1996.0</v>
      </c>
      <c r="C7" s="109" t="str">
        <f t="array" ref="C7">IFERROR(AVERAGEIFS('Sources - Observations (Berlin)'!$C$5:$C$314,'Sources - Observations (Berlin)'!$A$5:$A$314,$A7,'Sources - Observations (Berlin)'!$B$5:$B$314,$B7,'Sources - Observations (Berlin)'!$D$5:$D$314,"press"),"")</f>
        <v/>
      </c>
      <c r="D7" s="24">
        <f t="array" ref="D7">IFERROR(AVERAGEIFS('Sources - Observations (Berlin)'!$C$5:$C$314,'Sources - Observations (Berlin)'!$A$5:$A$314,$A7,'Sources - Observations (Berlin)'!$B$5:$B$314,$B7,'Sources - Observations (Berlin)'!$D$5:$D$314,"organisers"),"")</f>
        <v>40</v>
      </c>
      <c r="E7" s="109" t="str">
        <f t="array" ref="E7">IFERROR(AVERAGEIFS('Sources - Observations (Berlin)'!$C$5:$C$314,'Sources - Observations (Berlin)'!$A$5:$A$314,$A7,'Sources - Observations (Berlin)'!$B$5:$B$314,$B7,'Sources - Observations (Berlin)'!$D$5:$D$314,"police"),"")</f>
        <v/>
      </c>
      <c r="F7" s="21">
        <f t="array" ref="F7">COUNTIFS('Sources - Observations (Berlin)'!$A$5:$A$314,$A7,'Sources - Observations (Berlin)'!$B$5:$B$314,$B7)</f>
        <v>1</v>
      </c>
      <c r="G7" s="41">
        <f t="array" ref="G7">IFERROR(AVERAGEIFS('Sources - Observations (Berlin)'!$C$5:$C$314,'Sources - Observations (Berlin)'!$A$5:$A$314,$A7,'Sources - Observations (Berlin)'!$B$5:$B$314,$B7),"")</f>
        <v>40</v>
      </c>
      <c r="H7" s="106" t="s">
        <v>295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04" t="s">
        <v>62</v>
      </c>
      <c r="B8" s="21">
        <v>2000.0</v>
      </c>
      <c r="C8" s="24">
        <f t="array" ref="C8">IFERROR(AVERAGEIFS('Sources - Observations (Berlin)'!$C$5:$C$314,'Sources - Observations (Berlin)'!$A$5:$A$314,$A8,'Sources - Observations (Berlin)'!$B$5:$B$314,$B8,'Sources - Observations (Berlin)'!$D$5:$D$314,"press"),"")</f>
        <v>10000</v>
      </c>
      <c r="D8" s="109" t="str">
        <f t="array" ref="D8">IFERROR(AVERAGEIFS('Sources - Observations (Berlin)'!$C$5:$C$314,'Sources - Observations (Berlin)'!$A$5:$A$314,$A8,'Sources - Observations (Berlin)'!$B$5:$B$314,$B8,'Sources - Observations (Berlin)'!$D$5:$D$314,"organisers"),"")</f>
        <v/>
      </c>
      <c r="E8" s="109" t="str">
        <f t="array" ref="E8">IFERROR(AVERAGEIFS('Sources - Observations (Berlin)'!$C$5:$C$314,'Sources - Observations (Berlin)'!$A$5:$A$314,$A8,'Sources - Observations (Berlin)'!$B$5:$B$314,$B8,'Sources - Observations (Berlin)'!$D$5:$D$314,"police"),"")</f>
        <v/>
      </c>
      <c r="F8" s="21">
        <f t="array" ref="F8">COUNTIFS('Sources - Observations (Berlin)'!$A$5:$A$314,$A8,'Sources - Observations (Berlin)'!$B$5:$B$314,$B8)</f>
        <v>1</v>
      </c>
      <c r="G8" s="41">
        <f t="array" ref="G8">IFERROR(AVERAGEIFS('Sources - Observations (Berlin)'!$C$5:$C$314,'Sources - Observations (Berlin)'!$A$5:$A$314,$A8,'Sources - Observations (Berlin)'!$B$5:$B$314,$B8),"")</f>
        <v>10000</v>
      </c>
      <c r="H8" s="106" t="s">
        <v>295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04" t="s">
        <v>62</v>
      </c>
      <c r="B9" s="21">
        <v>2001.0</v>
      </c>
      <c r="C9" s="24">
        <f t="array" ref="C9">IFERROR(AVERAGEIFS('Sources - Observations (Berlin)'!$C$5:$C$314,'Sources - Observations (Berlin)'!$A$5:$A$314,$A9,'Sources - Observations (Berlin)'!$B$5:$B$314,$B9,'Sources - Observations (Berlin)'!$D$5:$D$314,"press"),"")</f>
        <v>475</v>
      </c>
      <c r="D9" s="109" t="str">
        <f t="array" ref="D9">IFERROR(AVERAGEIFS('Sources - Observations (Berlin)'!$C$5:$C$314,'Sources - Observations (Berlin)'!$A$5:$A$314,$A9,'Sources - Observations (Berlin)'!$B$5:$B$314,$B9,'Sources - Observations (Berlin)'!$D$5:$D$314,"organisers"),"")</f>
        <v/>
      </c>
      <c r="E9" s="109" t="str">
        <f t="array" ref="E9">IFERROR(AVERAGEIFS('Sources - Observations (Berlin)'!$C$5:$C$314,'Sources - Observations (Berlin)'!$A$5:$A$314,$A9,'Sources - Observations (Berlin)'!$B$5:$B$314,$B9,'Sources - Observations (Berlin)'!$D$5:$D$314,"police"),"")</f>
        <v/>
      </c>
      <c r="F9" s="21">
        <f t="array" ref="F9">COUNTIFS('Sources - Observations (Berlin)'!$A$5:$A$314,$A9,'Sources - Observations (Berlin)'!$B$5:$B$314,$B9)</f>
        <v>2</v>
      </c>
      <c r="G9" s="41">
        <f t="array" ref="G9">IFERROR(AVERAGEIFS('Sources - Observations (Berlin)'!$C$5:$C$314,'Sources - Observations (Berlin)'!$A$5:$A$314,$A9,'Sources - Observations (Berlin)'!$B$5:$B$314,$B9),"")</f>
        <v>475</v>
      </c>
      <c r="H9" s="106" t="s">
        <v>295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04" t="s">
        <v>62</v>
      </c>
      <c r="B10" s="21">
        <v>2002.0</v>
      </c>
      <c r="C10" s="24">
        <f t="array" ref="C10">IFERROR(AVERAGEIFS('Sources - Observations (Berlin)'!$C$5:$C$314,'Sources - Observations (Berlin)'!$A$5:$A$314,$A10,'Sources - Observations (Berlin)'!$B$5:$B$314,$B10,'Sources - Observations (Berlin)'!$D$5:$D$314,"press"),"")</f>
        <v>1000</v>
      </c>
      <c r="D10" s="109" t="str">
        <f t="array" ref="D10">IFERROR(AVERAGEIFS('Sources - Observations (Berlin)'!$C$5:$C$314,'Sources - Observations (Berlin)'!$A$5:$A$314,$A10,'Sources - Observations (Berlin)'!$B$5:$B$314,$B10,'Sources - Observations (Berlin)'!$D$5:$D$314,"organisers"),"")</f>
        <v/>
      </c>
      <c r="E10" s="109" t="str">
        <f t="array" ref="E10">IFERROR(AVERAGEIFS('Sources - Observations (Berlin)'!$C$5:$C$314,'Sources - Observations (Berlin)'!$A$5:$A$314,$A10,'Sources - Observations (Berlin)'!$B$5:$B$314,$B10,'Sources - Observations (Berlin)'!$D$5:$D$314,"police"),"")</f>
        <v/>
      </c>
      <c r="F10" s="21">
        <f t="array" ref="F10">COUNTIFS('Sources - Observations (Berlin)'!$A$5:$A$314,$A10,'Sources - Observations (Berlin)'!$B$5:$B$314,$B10)</f>
        <v>1</v>
      </c>
      <c r="G10" s="41">
        <f t="array" ref="G10">IFERROR(AVERAGEIFS('Sources - Observations (Berlin)'!$C$5:$C$314,'Sources - Observations (Berlin)'!$A$5:$A$314,$A10,'Sources - Observations (Berlin)'!$B$5:$B$314,$B10),"")</f>
        <v>1000</v>
      </c>
      <c r="H10" s="106" t="s">
        <v>295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04" t="s">
        <v>62</v>
      </c>
      <c r="B11" s="21">
        <v>2003.0</v>
      </c>
      <c r="C11" s="24">
        <f t="array" ref="C11">IFERROR(AVERAGEIFS('Sources - Observations (Berlin)'!$C$5:$C$314,'Sources - Observations (Berlin)'!$A$5:$A$314,$A11,'Sources - Observations (Berlin)'!$B$5:$B$314,$B11,'Sources - Observations (Berlin)'!$D$5:$D$314,"press"),"")</f>
        <v>250</v>
      </c>
      <c r="D11" s="109" t="str">
        <f t="array" ref="D11">IFERROR(AVERAGEIFS('Sources - Observations (Berlin)'!$C$5:$C$314,'Sources - Observations (Berlin)'!$A$5:$A$314,$A11,'Sources - Observations (Berlin)'!$B$5:$B$314,$B11,'Sources - Observations (Berlin)'!$D$5:$D$314,"organisers"),"")</f>
        <v/>
      </c>
      <c r="E11" s="109" t="str">
        <f t="array" ref="E11">IFERROR(AVERAGEIFS('Sources - Observations (Berlin)'!$C$5:$C$314,'Sources - Observations (Berlin)'!$A$5:$A$314,$A11,'Sources - Observations (Berlin)'!$B$5:$B$314,$B11,'Sources - Observations (Berlin)'!$D$5:$D$314,"police"),"")</f>
        <v/>
      </c>
      <c r="F11" s="21">
        <f t="array" ref="F11">COUNTIFS('Sources - Observations (Berlin)'!$A$5:$A$314,$A11,'Sources - Observations (Berlin)'!$B$5:$B$314,$B11)</f>
        <v>2</v>
      </c>
      <c r="G11" s="41">
        <f t="array" ref="G11">IFERROR(AVERAGEIFS('Sources - Observations (Berlin)'!$C$5:$C$314,'Sources - Observations (Berlin)'!$A$5:$A$314,$A11,'Sources - Observations (Berlin)'!$B$5:$B$314,$B11),"")</f>
        <v>250</v>
      </c>
      <c r="H11" s="106" t="s">
        <v>295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04" t="s">
        <v>62</v>
      </c>
      <c r="B12" s="21">
        <v>2004.0</v>
      </c>
      <c r="C12" s="24">
        <f t="array" ref="C12">IFERROR(AVERAGEIFS('Sources - Observations (Berlin)'!$C$5:$C$314,'Sources - Observations (Berlin)'!$A$5:$A$314,$A12,'Sources - Observations (Berlin)'!$B$5:$B$314,$B12,'Sources - Observations (Berlin)'!$D$5:$D$314,"press"),"")</f>
        <v>3400</v>
      </c>
      <c r="D12" s="109" t="str">
        <f t="array" ref="D12">IFERROR(AVERAGEIFS('Sources - Observations (Berlin)'!$C$5:$C$314,'Sources - Observations (Berlin)'!$A$5:$A$314,$A12,'Sources - Observations (Berlin)'!$B$5:$B$314,$B12,'Sources - Observations (Berlin)'!$D$5:$D$314,"organisers"),"")</f>
        <v/>
      </c>
      <c r="E12" s="109" t="str">
        <f t="array" ref="E12">IFERROR(AVERAGEIFS('Sources - Observations (Berlin)'!$C$5:$C$314,'Sources - Observations (Berlin)'!$A$5:$A$314,$A12,'Sources - Observations (Berlin)'!$B$5:$B$314,$B12,'Sources - Observations (Berlin)'!$D$5:$D$314,"police"),"")</f>
        <v/>
      </c>
      <c r="F12" s="21">
        <f t="array" ref="F12">COUNTIFS('Sources - Observations (Berlin)'!$A$5:$A$314,$A12,'Sources - Observations (Berlin)'!$B$5:$B$314,$B12)</f>
        <v>2</v>
      </c>
      <c r="G12" s="41">
        <f t="array" ref="G12">IFERROR(AVERAGEIFS('Sources - Observations (Berlin)'!$C$5:$C$314,'Sources - Observations (Berlin)'!$A$5:$A$314,$A12,'Sources - Observations (Berlin)'!$B$5:$B$314,$B12),"")</f>
        <v>3400</v>
      </c>
      <c r="H12" s="106" t="s">
        <v>295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04" t="s">
        <v>62</v>
      </c>
      <c r="B13" s="21">
        <v>2009.0</v>
      </c>
      <c r="C13" s="109" t="str">
        <f t="array" ref="C13">IFERROR(AVERAGEIFS('Sources - Observations (Berlin)'!$C$5:$C$314,'Sources - Observations (Berlin)'!$A$5:$A$314,$A13,'Sources - Observations (Berlin)'!$B$5:$B$314,$B13,'Sources - Observations (Berlin)'!$D$5:$D$314,"press"),"")</f>
        <v/>
      </c>
      <c r="D13" s="109" t="str">
        <f t="array" ref="D13">IFERROR(AVERAGEIFS('Sources - Observations (Berlin)'!$C$5:$C$314,'Sources - Observations (Berlin)'!$A$5:$A$314,$A13,'Sources - Observations (Berlin)'!$B$5:$B$314,$B13,'Sources - Observations (Berlin)'!$D$5:$D$314,"organisers"),"")</f>
        <v/>
      </c>
      <c r="E13" s="24">
        <f t="array" ref="E13">IFERROR(AVERAGEIFS('Sources - Observations (Berlin)'!$C$5:$C$314,'Sources - Observations (Berlin)'!$A$5:$A$314,$A13,'Sources - Observations (Berlin)'!$B$5:$B$314,$B13,'Sources - Observations (Berlin)'!$D$5:$D$314,"police"),"")</f>
        <v>3500</v>
      </c>
      <c r="F13" s="21">
        <f t="array" ref="F13">COUNTIFS('Sources - Observations (Berlin)'!$A$5:$A$314,$A13,'Sources - Observations (Berlin)'!$B$5:$B$314,$B13)</f>
        <v>1</v>
      </c>
      <c r="G13" s="41">
        <f t="array" ref="G13">IFERROR(AVERAGEIFS('Sources - Observations (Berlin)'!$C$5:$C$314,'Sources - Observations (Berlin)'!$A$5:$A$314,$A13,'Sources - Observations (Berlin)'!$B$5:$B$314,$B13),"")</f>
        <v>3500</v>
      </c>
      <c r="H13" s="106" t="s">
        <v>295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04" t="s">
        <v>62</v>
      </c>
      <c r="B14" s="21">
        <v>2010.0</v>
      </c>
      <c r="C14" s="24">
        <f t="array" ref="C14">IFERROR(AVERAGEIFS('Sources - Observations (Berlin)'!$C$5:$C$314,'Sources - Observations (Berlin)'!$A$5:$A$314,$A14,'Sources - Observations (Berlin)'!$B$5:$B$314,$B14,'Sources - Observations (Berlin)'!$D$5:$D$314,"press"),"")</f>
        <v>10000</v>
      </c>
      <c r="D14" s="109" t="str">
        <f t="array" ref="D14">IFERROR(AVERAGEIFS('Sources - Observations (Berlin)'!$C$5:$C$314,'Sources - Observations (Berlin)'!$A$5:$A$314,$A14,'Sources - Observations (Berlin)'!$B$5:$B$314,$B14,'Sources - Observations (Berlin)'!$D$5:$D$314,"organisers"),"")</f>
        <v/>
      </c>
      <c r="E14" s="109" t="str">
        <f t="array" ref="E14">IFERROR(AVERAGEIFS('Sources - Observations (Berlin)'!$C$5:$C$314,'Sources - Observations (Berlin)'!$A$5:$A$314,$A14,'Sources - Observations (Berlin)'!$B$5:$B$314,$B14,'Sources - Observations (Berlin)'!$D$5:$D$314,"police"),"")</f>
        <v/>
      </c>
      <c r="F14" s="21">
        <f t="array" ref="F14">COUNTIFS('Sources - Observations (Berlin)'!$A$5:$A$314,$A14,'Sources - Observations (Berlin)'!$B$5:$B$314,$B14)</f>
        <v>1</v>
      </c>
      <c r="G14" s="41">
        <f t="array" ref="G14">IFERROR(AVERAGEIFS('Sources - Observations (Berlin)'!$C$5:$C$314,'Sources - Observations (Berlin)'!$A$5:$A$314,$A14,'Sources - Observations (Berlin)'!$B$5:$B$314,$B14),"")</f>
        <v>10000</v>
      </c>
      <c r="H14" s="106" t="s">
        <v>295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04" t="s">
        <v>62</v>
      </c>
      <c r="B15" s="21">
        <v>2013.0</v>
      </c>
      <c r="C15" s="24">
        <f t="array" ref="C15">IFERROR(AVERAGEIFS('Sources - Observations (Berlin)'!$C$5:$C$314,'Sources - Observations (Berlin)'!$A$5:$A$314,$A15,'Sources - Observations (Berlin)'!$B$5:$B$314,$B15,'Sources - Observations (Berlin)'!$D$5:$D$314,"press"),"")</f>
        <v>2000</v>
      </c>
      <c r="D15" s="109" t="str">
        <f t="array" ref="D15">IFERROR(AVERAGEIFS('Sources - Observations (Berlin)'!$C$5:$C$314,'Sources - Observations (Berlin)'!$A$5:$A$314,$A15,'Sources - Observations (Berlin)'!$B$5:$B$314,$B15,'Sources - Observations (Berlin)'!$D$5:$D$314,"organisers"),"")</f>
        <v/>
      </c>
      <c r="E15" s="109" t="str">
        <f t="array" ref="E15">IFERROR(AVERAGEIFS('Sources - Observations (Berlin)'!$C$5:$C$314,'Sources - Observations (Berlin)'!$A$5:$A$314,$A15,'Sources - Observations (Berlin)'!$B$5:$B$314,$B15,'Sources - Observations (Berlin)'!$D$5:$D$314,"police"),"")</f>
        <v/>
      </c>
      <c r="F15" s="21">
        <f t="array" ref="F15">COUNTIFS('Sources - Observations (Berlin)'!$A$5:$A$314,$A15,'Sources - Observations (Berlin)'!$B$5:$B$314,$B15)</f>
        <v>1</v>
      </c>
      <c r="G15" s="41">
        <f t="array" ref="G15">IFERROR(AVERAGEIFS('Sources - Observations (Berlin)'!$C$5:$C$314,'Sources - Observations (Berlin)'!$A$5:$A$314,$A15,'Sources - Observations (Berlin)'!$B$5:$B$314,$B15),"")</f>
        <v>2000</v>
      </c>
      <c r="H15" s="106" t="s">
        <v>295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04" t="s">
        <v>62</v>
      </c>
      <c r="B16" s="21">
        <v>2015.0</v>
      </c>
      <c r="C16" s="24">
        <f t="array" ref="C16">IFERROR(AVERAGEIFS('Sources - Observations (Berlin)'!$C$5:$C$314,'Sources - Observations (Berlin)'!$A$5:$A$314,$A16,'Sources - Observations (Berlin)'!$B$5:$B$314,$B16,'Sources - Observations (Berlin)'!$D$5:$D$314,"press"),"")</f>
        <v>500</v>
      </c>
      <c r="D16" s="109" t="str">
        <f t="array" ref="D16">IFERROR(AVERAGEIFS('Sources - Observations (Berlin)'!$C$5:$C$314,'Sources - Observations (Berlin)'!$A$5:$A$314,$A16,'Sources - Observations (Berlin)'!$B$5:$B$314,$B16,'Sources - Observations (Berlin)'!$D$5:$D$314,"organisers"),"")</f>
        <v/>
      </c>
      <c r="E16" s="109" t="str">
        <f t="array" ref="E16">IFERROR(AVERAGEIFS('Sources - Observations (Berlin)'!$C$5:$C$314,'Sources - Observations (Berlin)'!$A$5:$A$314,$A16,'Sources - Observations (Berlin)'!$B$5:$B$314,$B16,'Sources - Observations (Berlin)'!$D$5:$D$314,"police"),"")</f>
        <v/>
      </c>
      <c r="F16" s="21">
        <f t="array" ref="F16">COUNTIFS('Sources - Observations (Berlin)'!$A$5:$A$314,$A16,'Sources - Observations (Berlin)'!$B$5:$B$314,$B16)</f>
        <v>1</v>
      </c>
      <c r="G16" s="41">
        <f t="array" ref="G16">IFERROR(AVERAGEIFS('Sources - Observations (Berlin)'!$C$5:$C$314,'Sources - Observations (Berlin)'!$A$5:$A$314,$A16,'Sources - Observations (Berlin)'!$B$5:$B$314,$B16),"")</f>
        <v>500</v>
      </c>
      <c r="H16" s="106" t="s">
        <v>295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04" t="s">
        <v>62</v>
      </c>
      <c r="B17" s="21">
        <v>2016.0</v>
      </c>
      <c r="C17" s="109" t="str">
        <f t="array" ref="C17">IFERROR(AVERAGEIFS('Sources - Observations (Berlin)'!$C$5:$C$314,'Sources - Observations (Berlin)'!$A$5:$A$314,$A17,'Sources - Observations (Berlin)'!$B$5:$B$314,$B17,'Sources - Observations (Berlin)'!$D$5:$D$314,"press"),"")</f>
        <v/>
      </c>
      <c r="D17" s="109" t="str">
        <f t="array" ref="D17">IFERROR(AVERAGEIFS('Sources - Observations (Berlin)'!$C$5:$C$314,'Sources - Observations (Berlin)'!$A$5:$A$314,$A17,'Sources - Observations (Berlin)'!$B$5:$B$314,$B17,'Sources - Observations (Berlin)'!$D$5:$D$314,"organisers"),"")</f>
        <v/>
      </c>
      <c r="E17" s="24">
        <f t="array" ref="E17">IFERROR(AVERAGEIFS('Sources - Observations (Berlin)'!$C$5:$C$314,'Sources - Observations (Berlin)'!$A$5:$A$314,$A17,'Sources - Observations (Berlin)'!$B$5:$B$314,$B17,'Sources - Observations (Berlin)'!$D$5:$D$314,"police"),"")</f>
        <v>900</v>
      </c>
      <c r="F17" s="21">
        <f t="array" ref="F17">COUNTIFS('Sources - Observations (Berlin)'!$A$5:$A$314,$A17,'Sources - Observations (Berlin)'!$B$5:$B$314,$B17)</f>
        <v>1</v>
      </c>
      <c r="G17" s="41">
        <f t="array" ref="G17">IFERROR(AVERAGEIFS('Sources - Observations (Berlin)'!$C$5:$C$314,'Sources - Observations (Berlin)'!$A$5:$A$314,$A17,'Sources - Observations (Berlin)'!$B$5:$B$314,$B17),"")</f>
        <v>900</v>
      </c>
      <c r="H17" s="106" t="s">
        <v>295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04" t="s">
        <v>62</v>
      </c>
      <c r="B18" s="21">
        <v>2017.0</v>
      </c>
      <c r="C18" s="109" t="str">
        <f t="array" ref="C18">IFERROR(AVERAGEIFS('Sources - Observations (Berlin)'!$C$5:$C$314,'Sources - Observations (Berlin)'!$A$5:$A$314,$A18,'Sources - Observations (Berlin)'!$B$5:$B$314,$B18,'Sources - Observations (Berlin)'!$D$5:$D$314,"press"),"")</f>
        <v/>
      </c>
      <c r="D18" s="24">
        <f t="array" ref="D18">IFERROR(AVERAGEIFS('Sources - Observations (Berlin)'!$C$5:$C$314,'Sources - Observations (Berlin)'!$A$5:$A$314,$A18,'Sources - Observations (Berlin)'!$B$5:$B$314,$B18,'Sources - Observations (Berlin)'!$D$5:$D$314,"organisers"),"")</f>
        <v>600</v>
      </c>
      <c r="E18" s="109" t="str">
        <f t="array" ref="E18">IFERROR(AVERAGEIFS('Sources - Observations (Berlin)'!$C$5:$C$314,'Sources - Observations (Berlin)'!$A$5:$A$314,$A18,'Sources - Observations (Berlin)'!$B$5:$B$314,$B18,'Sources - Observations (Berlin)'!$D$5:$D$314,"police"),"")</f>
        <v/>
      </c>
      <c r="F18" s="21">
        <f t="array" ref="F18">COUNTIFS('Sources - Observations (Berlin)'!$A$5:$A$314,$A18,'Sources - Observations (Berlin)'!$B$5:$B$314,$B18)</f>
        <v>1</v>
      </c>
      <c r="G18" s="41">
        <f t="array" ref="G18">IFERROR(AVERAGEIFS('Sources - Observations (Berlin)'!$C$5:$C$314,'Sources - Observations (Berlin)'!$A$5:$A$314,$A18,'Sources - Observations (Berlin)'!$B$5:$B$314,$B18),"")</f>
        <v>600</v>
      </c>
      <c r="H18" s="106" t="s">
        <v>295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04" t="s">
        <v>62</v>
      </c>
      <c r="B19" s="21">
        <v>2019.0</v>
      </c>
      <c r="C19" s="24">
        <f t="array" ref="C19">IFERROR(AVERAGEIFS('Sources - Observations (Berlin)'!$C$5:$C$314,'Sources - Observations (Berlin)'!$A$5:$A$314,$A19,'Sources - Observations (Berlin)'!$B$5:$B$314,$B19,'Sources - Observations (Berlin)'!$D$5:$D$314,"press"),"")</f>
        <v>500</v>
      </c>
      <c r="D19" s="109" t="str">
        <f t="array" ref="D19">IFERROR(AVERAGEIFS('Sources - Observations (Berlin)'!$C$5:$C$314,'Sources - Observations (Berlin)'!$A$5:$A$314,$A19,'Sources - Observations (Berlin)'!$B$5:$B$314,$B19,'Sources - Observations (Berlin)'!$D$5:$D$314,"organisers"),"")</f>
        <v/>
      </c>
      <c r="E19" s="109" t="str">
        <f t="array" ref="E19">IFERROR(AVERAGEIFS('Sources - Observations (Berlin)'!$C$5:$C$314,'Sources - Observations (Berlin)'!$A$5:$A$314,$A19,'Sources - Observations (Berlin)'!$B$5:$B$314,$B19,'Sources - Observations (Berlin)'!$D$5:$D$314,"police"),"")</f>
        <v/>
      </c>
      <c r="F19" s="21">
        <f t="array" ref="F19">COUNTIFS('Sources - Observations (Berlin)'!$A$5:$A$314,$A19,'Sources - Observations (Berlin)'!$B$5:$B$314,$B19)</f>
        <v>1</v>
      </c>
      <c r="G19" s="41">
        <f t="array" ref="G19">IFERROR(AVERAGEIFS('Sources - Observations (Berlin)'!$C$5:$C$314,'Sources - Observations (Berlin)'!$A$5:$A$314,$A19,'Sources - Observations (Berlin)'!$B$5:$B$314,$B19),"")</f>
        <v>500</v>
      </c>
      <c r="H19" s="106" t="s">
        <v>295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104" t="s">
        <v>55</v>
      </c>
      <c r="B20" s="21">
        <v>1990.0</v>
      </c>
      <c r="C20" s="24">
        <f t="array" ref="C20">IFERROR(AVERAGEIFS('Sources - Observations (Berlin)'!$C$5:$C$314,'Sources - Observations (Berlin)'!$A$5:$A$314,$A20,'Sources - Observations (Berlin)'!$B$5:$B$314,$B20,'Sources - Observations (Berlin)'!$D$5:$D$314,"press"),"")</f>
        <v>56666.66667</v>
      </c>
      <c r="D20" s="109" t="str">
        <f t="array" ref="D20">IFERROR(AVERAGEIFS('Sources - Observations (Berlin)'!$C$5:$C$314,'Sources - Observations (Berlin)'!$A$5:$A$314,$A20,'Sources - Observations (Berlin)'!$B$5:$B$314,$B20,'Sources - Observations (Berlin)'!$D$5:$D$314,"organisers"),"")</f>
        <v/>
      </c>
      <c r="E20" s="109" t="str">
        <f t="array" ref="E20">IFERROR(AVERAGEIFS('Sources - Observations (Berlin)'!$C$5:$C$314,'Sources - Observations (Berlin)'!$A$5:$A$314,$A20,'Sources - Observations (Berlin)'!$B$5:$B$314,$B20,'Sources - Observations (Berlin)'!$D$5:$D$314,"police"),"")</f>
        <v/>
      </c>
      <c r="F20" s="21">
        <f t="array" ref="F20">COUNTIFS('Sources - Observations (Berlin)'!$A$5:$A$314,$A20,'Sources - Observations (Berlin)'!$B$5:$B$314,$B20)</f>
        <v>3</v>
      </c>
      <c r="G20" s="41">
        <f t="array" ref="G20">IFERROR(AVERAGEIFS('Sources - Observations (Berlin)'!$C$5:$C$314,'Sources - Observations (Berlin)'!$A$5:$A$314,$A20,'Sources - Observations (Berlin)'!$B$5:$B$314,$B20),"")</f>
        <v>56666.66667</v>
      </c>
      <c r="H20" s="106" t="s">
        <v>295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104" t="s">
        <v>55</v>
      </c>
      <c r="B21" s="21">
        <v>1991.0</v>
      </c>
      <c r="C21" s="24">
        <f t="array" ref="C21">IFERROR(AVERAGEIFS('Sources - Observations (Berlin)'!$C$5:$C$314,'Sources - Observations (Berlin)'!$A$5:$A$314,$A21,'Sources - Observations (Berlin)'!$B$5:$B$314,$B21,'Sources - Observations (Berlin)'!$D$5:$D$314,"press"),"")</f>
        <v>7500</v>
      </c>
      <c r="D21" s="24">
        <f t="array" ref="D21">IFERROR(AVERAGEIFS('Sources - Observations (Berlin)'!$C$5:$C$314,'Sources - Observations (Berlin)'!$A$5:$A$314,$A21,'Sources - Observations (Berlin)'!$B$5:$B$314,$B21,'Sources - Observations (Berlin)'!$D$5:$D$314,"organisers"),"")</f>
        <v>15000</v>
      </c>
      <c r="E21" s="109" t="str">
        <f t="array" ref="E21">IFERROR(AVERAGEIFS('Sources - Observations (Berlin)'!$C$5:$C$314,'Sources - Observations (Berlin)'!$A$5:$A$314,$A21,'Sources - Observations (Berlin)'!$B$5:$B$314,$B21,'Sources - Observations (Berlin)'!$D$5:$D$314,"police"),"")</f>
        <v/>
      </c>
      <c r="F21" s="21">
        <f t="array" ref="F21">COUNTIFS('Sources - Observations (Berlin)'!$A$5:$A$314,$A21,'Sources - Observations (Berlin)'!$B$5:$B$314,$B21)</f>
        <v>3</v>
      </c>
      <c r="G21" s="41">
        <f t="array" ref="G21">IFERROR(AVERAGEIFS('Sources - Observations (Berlin)'!$C$5:$C$314,'Sources - Observations (Berlin)'!$A$5:$A$314,$A21,'Sources - Observations (Berlin)'!$B$5:$B$314,$B21),"")</f>
        <v>10000</v>
      </c>
      <c r="H21" s="106" t="s">
        <v>295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104" t="s">
        <v>55</v>
      </c>
      <c r="B22" s="21">
        <v>1992.0</v>
      </c>
      <c r="C22" s="24">
        <f t="array" ref="C22">IFERROR(AVERAGEIFS('Sources - Observations (Berlin)'!$C$5:$C$314,'Sources - Observations (Berlin)'!$A$5:$A$314,$A22,'Sources - Observations (Berlin)'!$B$5:$B$314,$B22,'Sources - Observations (Berlin)'!$D$5:$D$314,"press"),"")</f>
        <v>26250</v>
      </c>
      <c r="D22" s="24">
        <f t="array" ref="D22">IFERROR(AVERAGEIFS('Sources - Observations (Berlin)'!$C$5:$C$314,'Sources - Observations (Berlin)'!$A$5:$A$314,$A22,'Sources - Observations (Berlin)'!$B$5:$B$314,$B22,'Sources - Observations (Berlin)'!$D$5:$D$314,"organisers"),"")</f>
        <v>25000</v>
      </c>
      <c r="E22" s="24">
        <f t="array" ref="E22">IFERROR(AVERAGEIFS('Sources - Observations (Berlin)'!$C$5:$C$314,'Sources - Observations (Berlin)'!$A$5:$A$314,$A22,'Sources - Observations (Berlin)'!$B$5:$B$314,$B22,'Sources - Observations (Berlin)'!$D$5:$D$314,"police"),"")</f>
        <v>8000</v>
      </c>
      <c r="F22" s="21">
        <f t="array" ref="F22">COUNTIFS('Sources - Observations (Berlin)'!$A$5:$A$314,$A22,'Sources - Observations (Berlin)'!$B$5:$B$314,$B22)</f>
        <v>6</v>
      </c>
      <c r="G22" s="41">
        <f t="array" ref="G22">IFERROR(AVERAGEIFS('Sources - Observations (Berlin)'!$C$5:$C$314,'Sources - Observations (Berlin)'!$A$5:$A$314,$A22,'Sources - Observations (Berlin)'!$B$5:$B$314,$B22),"")</f>
        <v>23000</v>
      </c>
      <c r="H22" s="106" t="s">
        <v>295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04" t="s">
        <v>55</v>
      </c>
      <c r="B23" s="21">
        <v>1993.0</v>
      </c>
      <c r="C23" s="24">
        <f t="array" ref="C23">IFERROR(AVERAGEIFS('Sources - Observations (Berlin)'!$C$5:$C$314,'Sources - Observations (Berlin)'!$A$5:$A$314,$A23,'Sources - Observations (Berlin)'!$B$5:$B$314,$B23,'Sources - Observations (Berlin)'!$D$5:$D$314,"press"),"")</f>
        <v>10000</v>
      </c>
      <c r="D23" s="24">
        <f t="array" ref="D23">IFERROR(AVERAGEIFS('Sources - Observations (Berlin)'!$C$5:$C$314,'Sources - Observations (Berlin)'!$A$5:$A$314,$A23,'Sources - Observations (Berlin)'!$B$5:$B$314,$B23,'Sources - Observations (Berlin)'!$D$5:$D$314,"organisers"),"")</f>
        <v>30000</v>
      </c>
      <c r="E23" s="109" t="str">
        <f t="array" ref="E23">IFERROR(AVERAGEIFS('Sources - Observations (Berlin)'!$C$5:$C$314,'Sources - Observations (Berlin)'!$A$5:$A$314,$A23,'Sources - Observations (Berlin)'!$B$5:$B$314,$B23,'Sources - Observations (Berlin)'!$D$5:$D$314,"police"),"")</f>
        <v/>
      </c>
      <c r="F23" s="21">
        <f t="array" ref="F23">COUNTIFS('Sources - Observations (Berlin)'!$A$5:$A$314,$A23,'Sources - Observations (Berlin)'!$B$5:$B$314,$B23)</f>
        <v>3</v>
      </c>
      <c r="G23" s="41">
        <f t="array" ref="G23">IFERROR(AVERAGEIFS('Sources - Observations (Berlin)'!$C$5:$C$314,'Sources - Observations (Berlin)'!$A$5:$A$314,$A23,'Sources - Observations (Berlin)'!$B$5:$B$314,$B23),"")</f>
        <v>16666.66667</v>
      </c>
      <c r="H23" s="106" t="s">
        <v>295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04" t="s">
        <v>55</v>
      </c>
      <c r="B24" s="21">
        <v>1994.0</v>
      </c>
      <c r="C24" s="24">
        <f t="array" ref="C24">IFERROR(AVERAGEIFS('Sources - Observations (Berlin)'!$C$5:$C$314,'Sources - Observations (Berlin)'!$A$5:$A$314,$A24,'Sources - Observations (Berlin)'!$B$5:$B$314,$B24,'Sources - Observations (Berlin)'!$D$5:$D$314,"press"),"")</f>
        <v>5000</v>
      </c>
      <c r="D24" s="24">
        <f t="array" ref="D24">IFERROR(AVERAGEIFS('Sources - Observations (Berlin)'!$C$5:$C$314,'Sources - Observations (Berlin)'!$A$5:$A$314,$A24,'Sources - Observations (Berlin)'!$B$5:$B$314,$B24,'Sources - Observations (Berlin)'!$D$5:$D$314,"organisers"),"")</f>
        <v>8000</v>
      </c>
      <c r="E24" s="109" t="str">
        <f t="array" ref="E24">IFERROR(AVERAGEIFS('Sources - Observations (Berlin)'!$C$5:$C$314,'Sources - Observations (Berlin)'!$A$5:$A$314,$A24,'Sources - Observations (Berlin)'!$B$5:$B$314,$B24,'Sources - Observations (Berlin)'!$D$5:$D$314,"police"),"")</f>
        <v/>
      </c>
      <c r="F24" s="21">
        <f t="array" ref="F24">COUNTIFS('Sources - Observations (Berlin)'!$A$5:$A$314,$A24,'Sources - Observations (Berlin)'!$B$5:$B$314,$B24)</f>
        <v>3</v>
      </c>
      <c r="G24" s="41">
        <f t="array" ref="G24">IFERROR(AVERAGEIFS('Sources - Observations (Berlin)'!$C$5:$C$314,'Sources - Observations (Berlin)'!$A$5:$A$314,$A24,'Sources - Observations (Berlin)'!$B$5:$B$314,$B24),"")</f>
        <v>6000</v>
      </c>
      <c r="H24" s="106" t="s">
        <v>295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04" t="s">
        <v>55</v>
      </c>
      <c r="B25" s="21">
        <v>1995.0</v>
      </c>
      <c r="C25" s="24">
        <f t="array" ref="C25">IFERROR(AVERAGEIFS('Sources - Observations (Berlin)'!$C$5:$C$314,'Sources - Observations (Berlin)'!$A$5:$A$314,$A25,'Sources - Observations (Berlin)'!$B$5:$B$314,$B25,'Sources - Observations (Berlin)'!$D$5:$D$314,"press"),"")</f>
        <v>6750</v>
      </c>
      <c r="D25" s="24">
        <f t="array" ref="D25">IFERROR(AVERAGEIFS('Sources - Observations (Berlin)'!$C$5:$C$314,'Sources - Observations (Berlin)'!$A$5:$A$314,$A25,'Sources - Observations (Berlin)'!$B$5:$B$314,$B25,'Sources - Observations (Berlin)'!$D$5:$D$314,"organisers"),"")</f>
        <v>10000</v>
      </c>
      <c r="E25" s="109" t="str">
        <f t="array" ref="E25">IFERROR(AVERAGEIFS('Sources - Observations (Berlin)'!$C$5:$C$314,'Sources - Observations (Berlin)'!$A$5:$A$314,$A25,'Sources - Observations (Berlin)'!$B$5:$B$314,$B25,'Sources - Observations (Berlin)'!$D$5:$D$314,"police"),"")</f>
        <v/>
      </c>
      <c r="F25" s="21">
        <f t="array" ref="F25">COUNTIFS('Sources - Observations (Berlin)'!$A$5:$A$314,$A25,'Sources - Observations (Berlin)'!$B$5:$B$314,$B25)</f>
        <v>5</v>
      </c>
      <c r="G25" s="41">
        <f t="array" ref="G25">IFERROR(AVERAGEIFS('Sources - Observations (Berlin)'!$C$5:$C$314,'Sources - Observations (Berlin)'!$A$5:$A$314,$A25,'Sources - Observations (Berlin)'!$B$5:$B$314,$B25),"")</f>
        <v>7400</v>
      </c>
      <c r="H25" s="106" t="s">
        <v>295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04" t="s">
        <v>55</v>
      </c>
      <c r="B26" s="21">
        <v>1996.0</v>
      </c>
      <c r="C26" s="24">
        <f t="array" ref="C26">IFERROR(AVERAGEIFS('Sources - Observations (Berlin)'!$C$5:$C$314,'Sources - Observations (Berlin)'!$A$5:$A$314,$A26,'Sources - Observations (Berlin)'!$B$5:$B$314,$B26,'Sources - Observations (Berlin)'!$D$5:$D$314,"press"),"")</f>
        <v>16666.66667</v>
      </c>
      <c r="D26" s="109" t="str">
        <f t="array" ref="D26">IFERROR(AVERAGEIFS('Sources - Observations (Berlin)'!$C$5:$C$314,'Sources - Observations (Berlin)'!$A$5:$A$314,$A26,'Sources - Observations (Berlin)'!$B$5:$B$314,$B26,'Sources - Observations (Berlin)'!$D$5:$D$314,"organisers"),"")</f>
        <v/>
      </c>
      <c r="E26" s="109" t="str">
        <f t="array" ref="E26">IFERROR(AVERAGEIFS('Sources - Observations (Berlin)'!$C$5:$C$314,'Sources - Observations (Berlin)'!$A$5:$A$314,$A26,'Sources - Observations (Berlin)'!$B$5:$B$314,$B26,'Sources - Observations (Berlin)'!$D$5:$D$314,"police"),"")</f>
        <v/>
      </c>
      <c r="F26" s="21">
        <f t="array" ref="F26">COUNTIFS('Sources - Observations (Berlin)'!$A$5:$A$314,$A26,'Sources - Observations (Berlin)'!$B$5:$B$314,$B26)</f>
        <v>3</v>
      </c>
      <c r="G26" s="41">
        <f t="array" ref="G26">IFERROR(AVERAGEIFS('Sources - Observations (Berlin)'!$C$5:$C$314,'Sources - Observations (Berlin)'!$A$5:$A$314,$A26,'Sources - Observations (Berlin)'!$B$5:$B$314,$B26),"")</f>
        <v>16666.66667</v>
      </c>
      <c r="H26" s="106" t="s">
        <v>295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04" t="s">
        <v>55</v>
      </c>
      <c r="B27" s="21">
        <v>1997.0</v>
      </c>
      <c r="C27" s="24">
        <f t="array" ref="C27">IFERROR(AVERAGEIFS('Sources - Observations (Berlin)'!$C$5:$C$314,'Sources - Observations (Berlin)'!$A$5:$A$314,$A27,'Sources - Observations (Berlin)'!$B$5:$B$314,$B27,'Sources - Observations (Berlin)'!$D$5:$D$314,"press"),"")</f>
        <v>5833.333333</v>
      </c>
      <c r="D27" s="24">
        <f t="array" ref="D27">IFERROR(AVERAGEIFS('Sources - Observations (Berlin)'!$C$5:$C$314,'Sources - Observations (Berlin)'!$A$5:$A$314,$A27,'Sources - Observations (Berlin)'!$B$5:$B$314,$B27,'Sources - Observations (Berlin)'!$D$5:$D$314,"organisers"),"")</f>
        <v>25000</v>
      </c>
      <c r="E27" s="24">
        <f t="array" ref="E27">IFERROR(AVERAGEIFS('Sources - Observations (Berlin)'!$C$5:$C$314,'Sources - Observations (Berlin)'!$A$5:$A$314,$A27,'Sources - Observations (Berlin)'!$B$5:$B$314,$B27,'Sources - Observations (Berlin)'!$D$5:$D$314,"police"),"")</f>
        <v>5000</v>
      </c>
      <c r="F27" s="21">
        <f t="array" ref="F27">COUNTIFS('Sources - Observations (Berlin)'!$A$5:$A$314,$A27,'Sources - Observations (Berlin)'!$B$5:$B$314,$B27)</f>
        <v>5</v>
      </c>
      <c r="G27" s="41">
        <f t="array" ref="G27">IFERROR(AVERAGEIFS('Sources - Observations (Berlin)'!$C$5:$C$314,'Sources - Observations (Berlin)'!$A$5:$A$314,$A27,'Sources - Observations (Berlin)'!$B$5:$B$314,$B27),"")</f>
        <v>9500</v>
      </c>
      <c r="H27" s="106" t="s">
        <v>295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04" t="s">
        <v>55</v>
      </c>
      <c r="B28" s="21">
        <v>1998.0</v>
      </c>
      <c r="C28" s="24">
        <f t="array" ref="C28">IFERROR(AVERAGEIFS('Sources - Observations (Berlin)'!$C$5:$C$314,'Sources - Observations (Berlin)'!$A$5:$A$314,$A28,'Sources - Observations (Berlin)'!$B$5:$B$314,$B28,'Sources - Observations (Berlin)'!$D$5:$D$314,"press"),"")</f>
        <v>12666.66667</v>
      </c>
      <c r="D28" s="24">
        <f t="array" ref="D28">IFERROR(AVERAGEIFS('Sources - Observations (Berlin)'!$C$5:$C$314,'Sources - Observations (Berlin)'!$A$5:$A$314,$A28,'Sources - Observations (Berlin)'!$B$5:$B$314,$B28,'Sources - Observations (Berlin)'!$D$5:$D$314,"organisers"),"")</f>
        <v>17500</v>
      </c>
      <c r="E28" s="109" t="str">
        <f t="array" ref="E28">IFERROR(AVERAGEIFS('Sources - Observations (Berlin)'!$C$5:$C$314,'Sources - Observations (Berlin)'!$A$5:$A$314,$A28,'Sources - Observations (Berlin)'!$B$5:$B$314,$B28,'Sources - Observations (Berlin)'!$D$5:$D$314,"police"),"")</f>
        <v/>
      </c>
      <c r="F28" s="21">
        <f t="array" ref="F28">COUNTIFS('Sources - Observations (Berlin)'!$A$5:$A$314,$A28,'Sources - Observations (Berlin)'!$B$5:$B$314,$B28)</f>
        <v>4</v>
      </c>
      <c r="G28" s="41">
        <f t="array" ref="G28">IFERROR(AVERAGEIFS('Sources - Observations (Berlin)'!$C$5:$C$314,'Sources - Observations (Berlin)'!$A$5:$A$314,$A28,'Sources - Observations (Berlin)'!$B$5:$B$314,$B28),"")</f>
        <v>13875</v>
      </c>
      <c r="H28" s="106" t="s">
        <v>295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04" t="s">
        <v>55</v>
      </c>
      <c r="B29" s="21">
        <v>1999.0</v>
      </c>
      <c r="C29" s="24">
        <f t="array" ref="C29">IFERROR(AVERAGEIFS('Sources - Observations (Berlin)'!$C$5:$C$314,'Sources - Observations (Berlin)'!$A$5:$A$314,$A29,'Sources - Observations (Berlin)'!$B$5:$B$314,$B29,'Sources - Observations (Berlin)'!$D$5:$D$314,"press"),"")</f>
        <v>10000</v>
      </c>
      <c r="D29" s="24">
        <f t="array" ref="D29">IFERROR(AVERAGEIFS('Sources - Observations (Berlin)'!$C$5:$C$314,'Sources - Observations (Berlin)'!$A$5:$A$314,$A29,'Sources - Observations (Berlin)'!$B$5:$B$314,$B29,'Sources - Observations (Berlin)'!$D$5:$D$314,"organisers"),"")</f>
        <v>15000</v>
      </c>
      <c r="E29" s="24">
        <f t="array" ref="E29">IFERROR(AVERAGEIFS('Sources - Observations (Berlin)'!$C$5:$C$314,'Sources - Observations (Berlin)'!$A$5:$A$314,$A29,'Sources - Observations (Berlin)'!$B$5:$B$314,$B29,'Sources - Observations (Berlin)'!$D$5:$D$314,"police"),"")</f>
        <v>7000</v>
      </c>
      <c r="F29" s="21">
        <f t="array" ref="F29">COUNTIFS('Sources - Observations (Berlin)'!$A$5:$A$314,$A29,'Sources - Observations (Berlin)'!$B$5:$B$314,$B29)</f>
        <v>5</v>
      </c>
      <c r="G29" s="41">
        <f t="array" ref="G29">IFERROR(AVERAGEIFS('Sources - Observations (Berlin)'!$C$5:$C$314,'Sources - Observations (Berlin)'!$A$5:$A$314,$A29,'Sources - Observations (Berlin)'!$B$5:$B$314,$B29),"")</f>
        <v>10400</v>
      </c>
      <c r="H29" s="106" t="s">
        <v>295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04" t="s">
        <v>55</v>
      </c>
      <c r="B30" s="21">
        <v>2000.0</v>
      </c>
      <c r="C30" s="24">
        <f t="array" ref="C30">IFERROR(AVERAGEIFS('Sources - Observations (Berlin)'!$C$5:$C$314,'Sources - Observations (Berlin)'!$A$5:$A$314,$A30,'Sources - Observations (Berlin)'!$B$5:$B$314,$B30,'Sources - Observations (Berlin)'!$D$5:$D$314,"press"),"")</f>
        <v>10000</v>
      </c>
      <c r="D30" s="24">
        <f t="array" ref="D30">IFERROR(AVERAGEIFS('Sources - Observations (Berlin)'!$C$5:$C$314,'Sources - Observations (Berlin)'!$A$5:$A$314,$A30,'Sources - Observations (Berlin)'!$B$5:$B$314,$B30,'Sources - Observations (Berlin)'!$D$5:$D$314,"organisers"),"")</f>
        <v>15000</v>
      </c>
      <c r="E30" s="24">
        <f t="array" ref="E30">IFERROR(AVERAGEIFS('Sources - Observations (Berlin)'!$C$5:$C$314,'Sources - Observations (Berlin)'!$A$5:$A$314,$A30,'Sources - Observations (Berlin)'!$B$5:$B$314,$B30,'Sources - Observations (Berlin)'!$D$5:$D$314,"police"),"")</f>
        <v>7000</v>
      </c>
      <c r="F30" s="21">
        <f t="array" ref="F30">COUNTIFS('Sources - Observations (Berlin)'!$A$5:$A$314,$A30,'Sources - Observations (Berlin)'!$B$5:$B$314,$B30)</f>
        <v>6</v>
      </c>
      <c r="G30" s="41">
        <f t="array" ref="G30">IFERROR(AVERAGEIFS('Sources - Observations (Berlin)'!$C$5:$C$314,'Sources - Observations (Berlin)'!$A$5:$A$314,$A30,'Sources - Observations (Berlin)'!$B$5:$B$314,$B30),"")</f>
        <v>11166.66667</v>
      </c>
      <c r="H30" s="106" t="s">
        <v>295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04" t="s">
        <v>55</v>
      </c>
      <c r="B31" s="21">
        <v>2001.0</v>
      </c>
      <c r="C31" s="24">
        <f t="array" ref="C31">IFERROR(AVERAGEIFS('Sources - Observations (Berlin)'!$C$5:$C$314,'Sources - Observations (Berlin)'!$A$5:$A$314,$A31,'Sources - Observations (Berlin)'!$B$5:$B$314,$B31,'Sources - Observations (Berlin)'!$D$5:$D$314,"press"),"")</f>
        <v>16833.33333</v>
      </c>
      <c r="D31" s="109" t="str">
        <f t="array" ref="D31">IFERROR(AVERAGEIFS('Sources - Observations (Berlin)'!$C$5:$C$314,'Sources - Observations (Berlin)'!$A$5:$A$314,$A31,'Sources - Observations (Berlin)'!$B$5:$B$314,$B31,'Sources - Observations (Berlin)'!$D$5:$D$314,"organisers"),"")</f>
        <v/>
      </c>
      <c r="E31" s="109" t="str">
        <f t="array" ref="E31">IFERROR(AVERAGEIFS('Sources - Observations (Berlin)'!$C$5:$C$314,'Sources - Observations (Berlin)'!$A$5:$A$314,$A31,'Sources - Observations (Berlin)'!$B$5:$B$314,$B31,'Sources - Observations (Berlin)'!$D$5:$D$314,"police"),"")</f>
        <v/>
      </c>
      <c r="F31" s="21">
        <f t="array" ref="F31">COUNTIFS('Sources - Observations (Berlin)'!$A$5:$A$314,$A31,'Sources - Observations (Berlin)'!$B$5:$B$314,$B31)</f>
        <v>6</v>
      </c>
      <c r="G31" s="41">
        <f t="array" ref="G31">IFERROR(AVERAGEIFS('Sources - Observations (Berlin)'!$C$5:$C$314,'Sources - Observations (Berlin)'!$A$5:$A$314,$A31,'Sources - Observations (Berlin)'!$B$5:$B$314,$B31),"")</f>
        <v>16833.33333</v>
      </c>
      <c r="H31" s="106" t="s">
        <v>295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04" t="s">
        <v>55</v>
      </c>
      <c r="B32" s="21">
        <v>2002.0</v>
      </c>
      <c r="C32" s="24">
        <f t="array" ref="C32">IFERROR(AVERAGEIFS('Sources - Observations (Berlin)'!$C$5:$C$314,'Sources - Observations (Berlin)'!$A$5:$A$314,$A32,'Sources - Observations (Berlin)'!$B$5:$B$314,$B32,'Sources - Observations (Berlin)'!$D$5:$D$314,"press"),"")</f>
        <v>11000</v>
      </c>
      <c r="D32" s="24">
        <f t="array" ref="D32">IFERROR(AVERAGEIFS('Sources - Observations (Berlin)'!$C$5:$C$314,'Sources - Observations (Berlin)'!$A$5:$A$314,$A32,'Sources - Observations (Berlin)'!$B$5:$B$314,$B32,'Sources - Observations (Berlin)'!$D$5:$D$314,"organisers"),"")</f>
        <v>25000</v>
      </c>
      <c r="E32" s="24">
        <f t="array" ref="E32">IFERROR(AVERAGEIFS('Sources - Observations (Berlin)'!$C$5:$C$314,'Sources - Observations (Berlin)'!$A$5:$A$314,$A32,'Sources - Observations (Berlin)'!$B$5:$B$314,$B32,'Sources - Observations (Berlin)'!$D$5:$D$314,"police"),"")</f>
        <v>7000</v>
      </c>
      <c r="F32" s="21">
        <f t="array" ref="F32">COUNTIFS('Sources - Observations (Berlin)'!$A$5:$A$314,$A32,'Sources - Observations (Berlin)'!$B$5:$B$314,$B32)</f>
        <v>4</v>
      </c>
      <c r="G32" s="41">
        <f t="array" ref="G32">IFERROR(AVERAGEIFS('Sources - Observations (Berlin)'!$C$5:$C$314,'Sources - Observations (Berlin)'!$A$5:$A$314,$A32,'Sources - Observations (Berlin)'!$B$5:$B$314,$B32),"")</f>
        <v>13500</v>
      </c>
      <c r="H32" s="106" t="s">
        <v>295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04" t="s">
        <v>55</v>
      </c>
      <c r="B33" s="21">
        <v>2003.0</v>
      </c>
      <c r="C33" s="109" t="str">
        <f t="array" ref="C33">IFERROR(AVERAGEIFS('Sources - Observations (Berlin)'!$C$5:$C$314,'Sources - Observations (Berlin)'!$A$5:$A$314,$A33,'Sources - Observations (Berlin)'!$B$5:$B$314,$B33,'Sources - Observations (Berlin)'!$D$5:$D$314,"press"),"")</f>
        <v/>
      </c>
      <c r="D33" s="24">
        <f t="array" ref="D33">IFERROR(AVERAGEIFS('Sources - Observations (Berlin)'!$C$5:$C$314,'Sources - Observations (Berlin)'!$A$5:$A$314,$A33,'Sources - Observations (Berlin)'!$B$5:$B$314,$B33,'Sources - Observations (Berlin)'!$D$5:$D$314,"organisers"),"")</f>
        <v>20000</v>
      </c>
      <c r="E33" s="24">
        <f t="array" ref="E33">IFERROR(AVERAGEIFS('Sources - Observations (Berlin)'!$C$5:$C$314,'Sources - Observations (Berlin)'!$A$5:$A$314,$A33,'Sources - Observations (Berlin)'!$B$5:$B$314,$B33,'Sources - Observations (Berlin)'!$D$5:$D$314,"police"),"")</f>
        <v>7000</v>
      </c>
      <c r="F33" s="21">
        <f t="array" ref="F33">COUNTIFS('Sources - Observations (Berlin)'!$A$5:$A$314,$A33,'Sources - Observations (Berlin)'!$B$5:$B$314,$B33)</f>
        <v>2</v>
      </c>
      <c r="G33" s="41">
        <f t="array" ref="G33">IFERROR(AVERAGEIFS('Sources - Observations (Berlin)'!$C$5:$C$314,'Sources - Observations (Berlin)'!$A$5:$A$314,$A33,'Sources - Observations (Berlin)'!$B$5:$B$314,$B33),"")</f>
        <v>13500</v>
      </c>
      <c r="H33" s="106" t="s">
        <v>295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04" t="s">
        <v>55</v>
      </c>
      <c r="B34" s="21">
        <v>2004.0</v>
      </c>
      <c r="C34" s="109" t="str">
        <f t="array" ref="C34">IFERROR(AVERAGEIFS('Sources - Observations (Berlin)'!$C$5:$C$314,'Sources - Observations (Berlin)'!$A$5:$A$314,$A34,'Sources - Observations (Berlin)'!$B$5:$B$314,$B34,'Sources - Observations (Berlin)'!$D$5:$D$314,"press"),"")</f>
        <v/>
      </c>
      <c r="D34" s="24">
        <f t="array" ref="D34">IFERROR(AVERAGEIFS('Sources - Observations (Berlin)'!$C$5:$C$314,'Sources - Observations (Berlin)'!$A$5:$A$314,$A34,'Sources - Observations (Berlin)'!$B$5:$B$314,$B34,'Sources - Observations (Berlin)'!$D$5:$D$314,"organisers"),"")</f>
        <v>25000</v>
      </c>
      <c r="E34" s="24">
        <f t="array" ref="E34">IFERROR(AVERAGEIFS('Sources - Observations (Berlin)'!$C$5:$C$314,'Sources - Observations (Berlin)'!$A$5:$A$314,$A34,'Sources - Observations (Berlin)'!$B$5:$B$314,$B34,'Sources - Observations (Berlin)'!$D$5:$D$314,"police"),"")</f>
        <v>12000</v>
      </c>
      <c r="F34" s="21">
        <f t="array" ref="F34">COUNTIFS('Sources - Observations (Berlin)'!$A$5:$A$314,$A34,'Sources - Observations (Berlin)'!$B$5:$B$314,$B34)</f>
        <v>2</v>
      </c>
      <c r="G34" s="41">
        <f t="array" ref="G34">IFERROR(AVERAGEIFS('Sources - Observations (Berlin)'!$C$5:$C$314,'Sources - Observations (Berlin)'!$A$5:$A$314,$A34,'Sources - Observations (Berlin)'!$B$5:$B$314,$B34),"")</f>
        <v>18500</v>
      </c>
      <c r="H34" s="106" t="s">
        <v>295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04" t="s">
        <v>55</v>
      </c>
      <c r="B35" s="21">
        <v>2005.0</v>
      </c>
      <c r="C35" s="24">
        <f t="array" ref="C35">IFERROR(AVERAGEIFS('Sources - Observations (Berlin)'!$C$5:$C$314,'Sources - Observations (Berlin)'!$A$5:$A$314,$A35,'Sources - Observations (Berlin)'!$B$5:$B$314,$B35,'Sources - Observations (Berlin)'!$D$5:$D$314,"press"),"")</f>
        <v>10000</v>
      </c>
      <c r="D35" s="24">
        <f t="array" ref="D35">IFERROR(AVERAGEIFS('Sources - Observations (Berlin)'!$C$5:$C$314,'Sources - Observations (Berlin)'!$A$5:$A$314,$A35,'Sources - Observations (Berlin)'!$B$5:$B$314,$B35,'Sources - Observations (Berlin)'!$D$5:$D$314,"organisers"),"")</f>
        <v>12000</v>
      </c>
      <c r="E35" s="109" t="str">
        <f t="array" ref="E35">IFERROR(AVERAGEIFS('Sources - Observations (Berlin)'!$C$5:$C$314,'Sources - Observations (Berlin)'!$A$5:$A$314,$A35,'Sources - Observations (Berlin)'!$B$5:$B$314,$B35,'Sources - Observations (Berlin)'!$D$5:$D$314,"police"),"")</f>
        <v/>
      </c>
      <c r="F35" s="21">
        <f t="array" ref="F35">COUNTIFS('Sources - Observations (Berlin)'!$A$5:$A$314,$A35,'Sources - Observations (Berlin)'!$B$5:$B$314,$B35)</f>
        <v>4</v>
      </c>
      <c r="G35" s="41">
        <f t="array" ref="G35">IFERROR(AVERAGEIFS('Sources - Observations (Berlin)'!$C$5:$C$314,'Sources - Observations (Berlin)'!$A$5:$A$314,$A35,'Sources - Observations (Berlin)'!$B$5:$B$314,$B35),"")</f>
        <v>10500</v>
      </c>
      <c r="H35" s="106" t="s">
        <v>295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104" t="s">
        <v>55</v>
      </c>
      <c r="B36" s="21">
        <v>2006.0</v>
      </c>
      <c r="C36" s="24">
        <f t="array" ref="C36">IFERROR(AVERAGEIFS('Sources - Observations (Berlin)'!$C$5:$C$314,'Sources - Observations (Berlin)'!$A$5:$A$314,$A36,'Sources - Observations (Berlin)'!$B$5:$B$314,$B36,'Sources - Observations (Berlin)'!$D$5:$D$314,"press"),"")</f>
        <v>9000</v>
      </c>
      <c r="D36" s="24">
        <f t="array" ref="D36">IFERROR(AVERAGEIFS('Sources - Observations (Berlin)'!$C$5:$C$314,'Sources - Observations (Berlin)'!$A$5:$A$314,$A36,'Sources - Observations (Berlin)'!$B$5:$B$314,$B36,'Sources - Observations (Berlin)'!$D$5:$D$314,"organisers"),"")</f>
        <v>21000</v>
      </c>
      <c r="E36" s="24">
        <f t="array" ref="E36">IFERROR(AVERAGEIFS('Sources - Observations (Berlin)'!$C$5:$C$314,'Sources - Observations (Berlin)'!$A$5:$A$314,$A36,'Sources - Observations (Berlin)'!$B$5:$B$314,$B36,'Sources - Observations (Berlin)'!$D$5:$D$314,"police"),"")</f>
        <v>7500</v>
      </c>
      <c r="F36" s="21">
        <f t="array" ref="F36">COUNTIFS('Sources - Observations (Berlin)'!$A$5:$A$314,$A36,'Sources - Observations (Berlin)'!$B$5:$B$314,$B36)</f>
        <v>5</v>
      </c>
      <c r="G36" s="41">
        <f t="array" ref="G36">IFERROR(AVERAGEIFS('Sources - Observations (Berlin)'!$C$5:$C$314,'Sources - Observations (Berlin)'!$A$5:$A$314,$A36,'Sources - Observations (Berlin)'!$B$5:$B$314,$B36),"")</f>
        <v>13500</v>
      </c>
      <c r="H36" s="106" t="s">
        <v>295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04" t="s">
        <v>55</v>
      </c>
      <c r="B37" s="21">
        <v>2007.0</v>
      </c>
      <c r="C37" s="24">
        <f t="array" ref="C37">IFERROR(AVERAGEIFS('Sources - Observations (Berlin)'!$C$5:$C$314,'Sources - Observations (Berlin)'!$A$5:$A$314,$A37,'Sources - Observations (Berlin)'!$B$5:$B$314,$B37,'Sources - Observations (Berlin)'!$D$5:$D$314,"press"),"")</f>
        <v>12000</v>
      </c>
      <c r="D37" s="24">
        <f t="array" ref="D37">IFERROR(AVERAGEIFS('Sources - Observations (Berlin)'!$C$5:$C$314,'Sources - Observations (Berlin)'!$A$5:$A$314,$A37,'Sources - Observations (Berlin)'!$B$5:$B$314,$B37,'Sources - Observations (Berlin)'!$D$5:$D$314,"organisers"),"")</f>
        <v>12000</v>
      </c>
      <c r="E37" s="24">
        <f t="array" ref="E37">IFERROR(AVERAGEIFS('Sources - Observations (Berlin)'!$C$5:$C$314,'Sources - Observations (Berlin)'!$A$5:$A$314,$A37,'Sources - Observations (Berlin)'!$B$5:$B$314,$B37,'Sources - Observations (Berlin)'!$D$5:$D$314,"police"),"")</f>
        <v>7500</v>
      </c>
      <c r="F37" s="21">
        <f t="array" ref="F37">COUNTIFS('Sources - Observations (Berlin)'!$A$5:$A$314,$A37,'Sources - Observations (Berlin)'!$B$5:$B$314,$B37)</f>
        <v>3</v>
      </c>
      <c r="G37" s="41">
        <f t="array" ref="G37">IFERROR(AVERAGEIFS('Sources - Observations (Berlin)'!$C$5:$C$314,'Sources - Observations (Berlin)'!$A$5:$A$314,$A37,'Sources - Observations (Berlin)'!$B$5:$B$314,$B37),"")</f>
        <v>10500</v>
      </c>
      <c r="H37" s="106" t="s">
        <v>295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104" t="s">
        <v>55</v>
      </c>
      <c r="B38" s="21">
        <v>2008.0</v>
      </c>
      <c r="C38" s="24">
        <f t="array" ref="C38">IFERROR(AVERAGEIFS('Sources - Observations (Berlin)'!$C$5:$C$314,'Sources - Observations (Berlin)'!$A$5:$A$314,$A38,'Sources - Observations (Berlin)'!$B$5:$B$314,$B38,'Sources - Observations (Berlin)'!$D$5:$D$314,"press"),"")</f>
        <v>5750</v>
      </c>
      <c r="D38" s="24">
        <f t="array" ref="D38">IFERROR(AVERAGEIFS('Sources - Observations (Berlin)'!$C$5:$C$314,'Sources - Observations (Berlin)'!$A$5:$A$314,$A38,'Sources - Observations (Berlin)'!$B$5:$B$314,$B38,'Sources - Observations (Berlin)'!$D$5:$D$314,"organisers"),"")</f>
        <v>20000</v>
      </c>
      <c r="E38" s="24">
        <f t="array" ref="E38">IFERROR(AVERAGEIFS('Sources - Observations (Berlin)'!$C$5:$C$314,'Sources - Observations (Berlin)'!$A$5:$A$314,$A38,'Sources - Observations (Berlin)'!$B$5:$B$314,$B38,'Sources - Observations (Berlin)'!$D$5:$D$314,"police"),"")</f>
        <v>5000</v>
      </c>
      <c r="F38" s="21">
        <f t="array" ref="F38">COUNTIFS('Sources - Observations (Berlin)'!$A$5:$A$314,$A38,'Sources - Observations (Berlin)'!$B$5:$B$314,$B38)</f>
        <v>4</v>
      </c>
      <c r="G38" s="41">
        <f t="array" ref="G38">IFERROR(AVERAGEIFS('Sources - Observations (Berlin)'!$C$5:$C$314,'Sources - Observations (Berlin)'!$A$5:$A$314,$A38,'Sources - Observations (Berlin)'!$B$5:$B$314,$B38),"")</f>
        <v>9125</v>
      </c>
      <c r="H38" s="106" t="s">
        <v>295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104" t="s">
        <v>55</v>
      </c>
      <c r="B39" s="21">
        <v>2009.0</v>
      </c>
      <c r="C39" s="109" t="str">
        <f t="array" ref="C39">IFERROR(AVERAGEIFS('Sources - Observations (Berlin)'!$C$5:$C$314,'Sources - Observations (Berlin)'!$A$5:$A$314,$A39,'Sources - Observations (Berlin)'!$B$5:$B$314,$B39,'Sources - Observations (Berlin)'!$D$5:$D$314,"press"),"")</f>
        <v/>
      </c>
      <c r="D39" s="24">
        <f t="array" ref="D39">IFERROR(AVERAGEIFS('Sources - Observations (Berlin)'!$C$5:$C$314,'Sources - Observations (Berlin)'!$A$5:$A$314,$A39,'Sources - Observations (Berlin)'!$B$5:$B$314,$B39,'Sources - Observations (Berlin)'!$D$5:$D$314,"organisers"),"")</f>
        <v>19000</v>
      </c>
      <c r="E39" s="24">
        <f t="array" ref="E39">IFERROR(AVERAGEIFS('Sources - Observations (Berlin)'!$C$5:$C$314,'Sources - Observations (Berlin)'!$A$5:$A$314,$A39,'Sources - Observations (Berlin)'!$B$5:$B$314,$B39,'Sources - Observations (Berlin)'!$D$5:$D$314,"police"),"")</f>
        <v>2500</v>
      </c>
      <c r="F39" s="21">
        <f t="array" ref="F39">COUNTIFS('Sources - Observations (Berlin)'!$A$5:$A$314,$A39,'Sources - Observations (Berlin)'!$B$5:$B$314,$B39)</f>
        <v>3</v>
      </c>
      <c r="G39" s="41">
        <f t="array" ref="G39">IFERROR(AVERAGEIFS('Sources - Observations (Berlin)'!$C$5:$C$314,'Sources - Observations (Berlin)'!$A$5:$A$314,$A39,'Sources - Observations (Berlin)'!$B$5:$B$314,$B39),"")</f>
        <v>13500</v>
      </c>
      <c r="H39" s="106" t="s">
        <v>295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104" t="s">
        <v>55</v>
      </c>
      <c r="B40" s="21">
        <v>2010.0</v>
      </c>
      <c r="C40" s="109" t="str">
        <f t="array" ref="C40">IFERROR(AVERAGEIFS('Sources - Observations (Berlin)'!$C$5:$C$314,'Sources - Observations (Berlin)'!$A$5:$A$314,$A40,'Sources - Observations (Berlin)'!$B$5:$B$314,$B40,'Sources - Observations (Berlin)'!$D$5:$D$314,"press"),"")</f>
        <v/>
      </c>
      <c r="D40" s="24">
        <f t="array" ref="D40">IFERROR(AVERAGEIFS('Sources - Observations (Berlin)'!$C$5:$C$314,'Sources - Observations (Berlin)'!$A$5:$A$314,$A40,'Sources - Observations (Berlin)'!$B$5:$B$314,$B40,'Sources - Observations (Berlin)'!$D$5:$D$314,"organisers"),"")</f>
        <v>12000</v>
      </c>
      <c r="E40" s="24">
        <f t="array" ref="E40">IFERROR(AVERAGEIFS('Sources - Observations (Berlin)'!$C$5:$C$314,'Sources - Observations (Berlin)'!$A$5:$A$314,$A40,'Sources - Observations (Berlin)'!$B$5:$B$314,$B40,'Sources - Observations (Berlin)'!$D$5:$D$314,"police"),"")</f>
        <v>7500</v>
      </c>
      <c r="F40" s="21">
        <f t="array" ref="F40">COUNTIFS('Sources - Observations (Berlin)'!$A$5:$A$314,$A40,'Sources - Observations (Berlin)'!$B$5:$B$314,$B40)</f>
        <v>2</v>
      </c>
      <c r="G40" s="41">
        <f t="array" ref="G40">IFERROR(AVERAGEIFS('Sources - Observations (Berlin)'!$C$5:$C$314,'Sources - Observations (Berlin)'!$A$5:$A$314,$A40,'Sources - Observations (Berlin)'!$B$5:$B$314,$B40),"")</f>
        <v>9750</v>
      </c>
      <c r="H40" s="106" t="s">
        <v>295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104" t="s">
        <v>55</v>
      </c>
      <c r="B41" s="21">
        <v>2011.0</v>
      </c>
      <c r="C41" s="24">
        <f t="array" ref="C41">IFERROR(AVERAGEIFS('Sources - Observations (Berlin)'!$C$5:$C$314,'Sources - Observations (Berlin)'!$A$5:$A$314,$A41,'Sources - Observations (Berlin)'!$B$5:$B$314,$B41,'Sources - Observations (Berlin)'!$D$5:$D$314,"press"),"")</f>
        <v>15000</v>
      </c>
      <c r="D41" s="24">
        <f t="array" ref="D41">IFERROR(AVERAGEIFS('Sources - Observations (Berlin)'!$C$5:$C$314,'Sources - Observations (Berlin)'!$A$5:$A$314,$A41,'Sources - Observations (Berlin)'!$B$5:$B$314,$B41,'Sources - Observations (Berlin)'!$D$5:$D$314,"organisers"),"")</f>
        <v>12500</v>
      </c>
      <c r="E41" s="24">
        <f t="array" ref="E41">IFERROR(AVERAGEIFS('Sources - Observations (Berlin)'!$C$5:$C$314,'Sources - Observations (Berlin)'!$A$5:$A$314,$A41,'Sources - Observations (Berlin)'!$B$5:$B$314,$B41,'Sources - Observations (Berlin)'!$D$5:$D$314,"police"),"")</f>
        <v>6000</v>
      </c>
      <c r="F41" s="21">
        <f t="array" ref="F41">COUNTIFS('Sources - Observations (Berlin)'!$A$5:$A$314,$A41,'Sources - Observations (Berlin)'!$B$5:$B$314,$B41)</f>
        <v>4</v>
      </c>
      <c r="G41" s="41">
        <f t="array" ref="G41">IFERROR(AVERAGEIFS('Sources - Observations (Berlin)'!$C$5:$C$314,'Sources - Observations (Berlin)'!$A$5:$A$314,$A41,'Sources - Observations (Berlin)'!$B$5:$B$314,$B41),"")</f>
        <v>11500</v>
      </c>
      <c r="H41" s="106" t="s">
        <v>295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104" t="s">
        <v>55</v>
      </c>
      <c r="B42" s="21">
        <v>2012.0</v>
      </c>
      <c r="C42" s="24">
        <f t="array" ref="C42">IFERROR(AVERAGEIFS('Sources - Observations (Berlin)'!$C$5:$C$314,'Sources - Observations (Berlin)'!$A$5:$A$314,$A42,'Sources - Observations (Berlin)'!$B$5:$B$314,$B42,'Sources - Observations (Berlin)'!$D$5:$D$314,"press"),"")</f>
        <v>11833.33333</v>
      </c>
      <c r="D42" s="24">
        <f t="array" ref="D42">IFERROR(AVERAGEIFS('Sources - Observations (Berlin)'!$C$5:$C$314,'Sources - Observations (Berlin)'!$A$5:$A$314,$A42,'Sources - Observations (Berlin)'!$B$5:$B$314,$B42,'Sources - Observations (Berlin)'!$D$5:$D$314,"organisers"),"")</f>
        <v>15000</v>
      </c>
      <c r="E42" s="109" t="str">
        <f t="array" ref="E42">IFERROR(AVERAGEIFS('Sources - Observations (Berlin)'!$C$5:$C$314,'Sources - Observations (Berlin)'!$A$5:$A$314,$A42,'Sources - Observations (Berlin)'!$B$5:$B$314,$B42,'Sources - Observations (Berlin)'!$D$5:$D$314,"police"),"")</f>
        <v/>
      </c>
      <c r="F42" s="21">
        <f t="array" ref="F42">COUNTIFS('Sources - Observations (Berlin)'!$A$5:$A$314,$A42,'Sources - Observations (Berlin)'!$B$5:$B$314,$B42)</f>
        <v>4</v>
      </c>
      <c r="G42" s="41">
        <f t="array" ref="G42">IFERROR(AVERAGEIFS('Sources - Observations (Berlin)'!$C$5:$C$314,'Sources - Observations (Berlin)'!$A$5:$A$314,$A42,'Sources - Observations (Berlin)'!$B$5:$B$314,$B42),"")</f>
        <v>12625</v>
      </c>
      <c r="H42" s="106" t="s">
        <v>295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104" t="s">
        <v>55</v>
      </c>
      <c r="B43" s="21">
        <v>2013.0</v>
      </c>
      <c r="C43" s="24">
        <f t="array" ref="C43">IFERROR(AVERAGEIFS('Sources - Observations (Berlin)'!$C$5:$C$314,'Sources - Observations (Berlin)'!$A$5:$A$314,$A43,'Sources - Observations (Berlin)'!$B$5:$B$314,$B43,'Sources - Observations (Berlin)'!$D$5:$D$314,"press"),"")</f>
        <v>9750</v>
      </c>
      <c r="D43" s="109" t="str">
        <f t="array" ref="D43">IFERROR(AVERAGEIFS('Sources - Observations (Berlin)'!$C$5:$C$314,'Sources - Observations (Berlin)'!$A$5:$A$314,$A43,'Sources - Observations (Berlin)'!$B$5:$B$314,$B43,'Sources - Observations (Berlin)'!$D$5:$D$314,"organisers"),"")</f>
        <v/>
      </c>
      <c r="E43" s="109" t="str">
        <f t="array" ref="E43">IFERROR(AVERAGEIFS('Sources - Observations (Berlin)'!$C$5:$C$314,'Sources - Observations (Berlin)'!$A$5:$A$314,$A43,'Sources - Observations (Berlin)'!$B$5:$B$314,$B43,'Sources - Observations (Berlin)'!$D$5:$D$314,"police"),"")</f>
        <v/>
      </c>
      <c r="F43" s="21">
        <f t="array" ref="F43">COUNTIFS('Sources - Observations (Berlin)'!$A$5:$A$314,$A43,'Sources - Observations (Berlin)'!$B$5:$B$314,$B43)</f>
        <v>2</v>
      </c>
      <c r="G43" s="41">
        <f t="array" ref="G43">IFERROR(AVERAGEIFS('Sources - Observations (Berlin)'!$C$5:$C$314,'Sources - Observations (Berlin)'!$A$5:$A$314,$A43,'Sources - Observations (Berlin)'!$B$5:$B$314,$B43),"")</f>
        <v>9750</v>
      </c>
      <c r="H43" s="106" t="s">
        <v>295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104" t="s">
        <v>55</v>
      </c>
      <c r="B44" s="21">
        <v>2014.0</v>
      </c>
      <c r="C44" s="24">
        <f t="array" ref="C44">IFERROR(AVERAGEIFS('Sources - Observations (Berlin)'!$C$5:$C$314,'Sources - Observations (Berlin)'!$A$5:$A$314,$A44,'Sources - Observations (Berlin)'!$B$5:$B$314,$B44,'Sources - Observations (Berlin)'!$D$5:$D$314,"press"),"")</f>
        <v>10000</v>
      </c>
      <c r="D44" s="109" t="str">
        <f t="array" ref="D44">IFERROR(AVERAGEIFS('Sources - Observations (Berlin)'!$C$5:$C$314,'Sources - Observations (Berlin)'!$A$5:$A$314,$A44,'Sources - Observations (Berlin)'!$B$5:$B$314,$B44,'Sources - Observations (Berlin)'!$D$5:$D$314,"organisers"),"")</f>
        <v/>
      </c>
      <c r="E44" s="109" t="str">
        <f t="array" ref="E44">IFERROR(AVERAGEIFS('Sources - Observations (Berlin)'!$C$5:$C$314,'Sources - Observations (Berlin)'!$A$5:$A$314,$A44,'Sources - Observations (Berlin)'!$B$5:$B$314,$B44,'Sources - Observations (Berlin)'!$D$5:$D$314,"police"),"")</f>
        <v/>
      </c>
      <c r="F44" s="21">
        <f t="array" ref="F44">COUNTIFS('Sources - Observations (Berlin)'!$A$5:$A$314,$A44,'Sources - Observations (Berlin)'!$B$5:$B$314,$B44)</f>
        <v>2</v>
      </c>
      <c r="G44" s="41">
        <f t="array" ref="G44">IFERROR(AVERAGEIFS('Sources - Observations (Berlin)'!$C$5:$C$314,'Sources - Observations (Berlin)'!$A$5:$A$314,$A44,'Sources - Observations (Berlin)'!$B$5:$B$314,$B44),"")</f>
        <v>10000</v>
      </c>
      <c r="H44" s="106" t="s">
        <v>295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104" t="s">
        <v>55</v>
      </c>
      <c r="B45" s="21">
        <v>2015.0</v>
      </c>
      <c r="C45" s="109" t="str">
        <f t="array" ref="C45">IFERROR(AVERAGEIFS('Sources - Observations (Berlin)'!$C$5:$C$314,'Sources - Observations (Berlin)'!$A$5:$A$314,$A45,'Sources - Observations (Berlin)'!$B$5:$B$314,$B45,'Sources - Observations (Berlin)'!$D$5:$D$314,"press"),"")</f>
        <v/>
      </c>
      <c r="D45" s="24">
        <f t="array" ref="D45">IFERROR(AVERAGEIFS('Sources - Observations (Berlin)'!$C$5:$C$314,'Sources - Observations (Berlin)'!$A$5:$A$314,$A45,'Sources - Observations (Berlin)'!$B$5:$B$314,$B45,'Sources - Observations (Berlin)'!$D$5:$D$314,"organisers"),"")</f>
        <v>15000</v>
      </c>
      <c r="E45" s="109" t="str">
        <f t="array" ref="E45">IFERROR(AVERAGEIFS('Sources - Observations (Berlin)'!$C$5:$C$314,'Sources - Observations (Berlin)'!$A$5:$A$314,$A45,'Sources - Observations (Berlin)'!$B$5:$B$314,$B45,'Sources - Observations (Berlin)'!$D$5:$D$314,"police"),"")</f>
        <v/>
      </c>
      <c r="F45" s="21">
        <f t="array" ref="F45">COUNTIFS('Sources - Observations (Berlin)'!$A$5:$A$314,$A45,'Sources - Observations (Berlin)'!$B$5:$B$314,$B45)</f>
        <v>1</v>
      </c>
      <c r="G45" s="41">
        <f t="array" ref="G45">IFERROR(AVERAGEIFS('Sources - Observations (Berlin)'!$C$5:$C$314,'Sources - Observations (Berlin)'!$A$5:$A$314,$A45,'Sources - Observations (Berlin)'!$B$5:$B$314,$B45),"")</f>
        <v>15000</v>
      </c>
      <c r="H45" s="106" t="s">
        <v>295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104" t="s">
        <v>55</v>
      </c>
      <c r="B46" s="21">
        <v>2016.0</v>
      </c>
      <c r="C46" s="109" t="str">
        <f t="array" ref="C46">IFERROR(AVERAGEIFS('Sources - Observations (Berlin)'!$C$5:$C$314,'Sources - Observations (Berlin)'!$A$5:$A$314,$A46,'Sources - Observations (Berlin)'!$B$5:$B$314,$B46,'Sources - Observations (Berlin)'!$D$5:$D$314,"press"),"")</f>
        <v/>
      </c>
      <c r="D46" s="24">
        <f t="array" ref="D46">IFERROR(AVERAGEIFS('Sources - Observations (Berlin)'!$C$5:$C$314,'Sources - Observations (Berlin)'!$A$5:$A$314,$A46,'Sources - Observations (Berlin)'!$B$5:$B$314,$B46,'Sources - Observations (Berlin)'!$D$5:$D$314,"organisers"),"")</f>
        <v>14000</v>
      </c>
      <c r="E46" s="109" t="str">
        <f t="array" ref="E46">IFERROR(AVERAGEIFS('Sources - Observations (Berlin)'!$C$5:$C$314,'Sources - Observations (Berlin)'!$A$5:$A$314,$A46,'Sources - Observations (Berlin)'!$B$5:$B$314,$B46,'Sources - Observations (Berlin)'!$D$5:$D$314,"police"),"")</f>
        <v/>
      </c>
      <c r="F46" s="21">
        <f t="array" ref="F46">COUNTIFS('Sources - Observations (Berlin)'!$A$5:$A$314,$A46,'Sources - Observations (Berlin)'!$B$5:$B$314,$B46)</f>
        <v>1</v>
      </c>
      <c r="G46" s="41">
        <f t="array" ref="G46">IFERROR(AVERAGEIFS('Sources - Observations (Berlin)'!$C$5:$C$314,'Sources - Observations (Berlin)'!$A$5:$A$314,$A46,'Sources - Observations (Berlin)'!$B$5:$B$314,$B46),"")</f>
        <v>14000</v>
      </c>
      <c r="H46" s="106" t="s">
        <v>295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104" t="s">
        <v>55</v>
      </c>
      <c r="B47" s="21">
        <v>2017.0</v>
      </c>
      <c r="C47" s="109" t="str">
        <f t="array" ref="C47">IFERROR(AVERAGEIFS('Sources - Observations (Berlin)'!$C$5:$C$314,'Sources - Observations (Berlin)'!$A$5:$A$314,$A47,'Sources - Observations (Berlin)'!$B$5:$B$314,$B47,'Sources - Observations (Berlin)'!$D$5:$D$314,"press"),"")</f>
        <v/>
      </c>
      <c r="D47" s="24">
        <f t="array" ref="D47">IFERROR(AVERAGEIFS('Sources - Observations (Berlin)'!$C$5:$C$314,'Sources - Observations (Berlin)'!$A$5:$A$314,$A47,'Sources - Observations (Berlin)'!$B$5:$B$314,$B47,'Sources - Observations (Berlin)'!$D$5:$D$314,"organisers"),"")</f>
        <v>14000</v>
      </c>
      <c r="E47" s="109" t="str">
        <f t="array" ref="E47">IFERROR(AVERAGEIFS('Sources - Observations (Berlin)'!$C$5:$C$314,'Sources - Observations (Berlin)'!$A$5:$A$314,$A47,'Sources - Observations (Berlin)'!$B$5:$B$314,$B47,'Sources - Observations (Berlin)'!$D$5:$D$314,"police"),"")</f>
        <v/>
      </c>
      <c r="F47" s="21">
        <f t="array" ref="F47">COUNTIFS('Sources - Observations (Berlin)'!$A$5:$A$314,$A47,'Sources - Observations (Berlin)'!$B$5:$B$314,$B47)</f>
        <v>1</v>
      </c>
      <c r="G47" s="41">
        <f t="array" ref="G47">IFERROR(AVERAGEIFS('Sources - Observations (Berlin)'!$C$5:$C$314,'Sources - Observations (Berlin)'!$A$5:$A$314,$A47,'Sources - Observations (Berlin)'!$B$5:$B$314,$B47),"")</f>
        <v>14000</v>
      </c>
      <c r="H47" s="106" t="s">
        <v>295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104" t="s">
        <v>55</v>
      </c>
      <c r="B48" s="21">
        <v>2018.0</v>
      </c>
      <c r="C48" s="109" t="str">
        <f t="array" ref="C48">IFERROR(AVERAGEIFS('Sources - Observations (Berlin)'!$C$5:$C$314,'Sources - Observations (Berlin)'!$A$5:$A$314,$A48,'Sources - Observations (Berlin)'!$B$5:$B$314,$B48,'Sources - Observations (Berlin)'!$D$5:$D$314,"press"),"")</f>
        <v/>
      </c>
      <c r="D48" s="24">
        <f t="array" ref="D48">IFERROR(AVERAGEIFS('Sources - Observations (Berlin)'!$C$5:$C$314,'Sources - Observations (Berlin)'!$A$5:$A$314,$A48,'Sources - Observations (Berlin)'!$B$5:$B$314,$B48,'Sources - Observations (Berlin)'!$D$5:$D$314,"organisers"),"")</f>
        <v>14000</v>
      </c>
      <c r="E48" s="24">
        <f t="array" ref="E48">IFERROR(AVERAGEIFS('Sources - Observations (Berlin)'!$C$5:$C$314,'Sources - Observations (Berlin)'!$A$5:$A$314,$A48,'Sources - Observations (Berlin)'!$B$5:$B$314,$B48,'Sources - Observations (Berlin)'!$D$5:$D$314,"police"),"")</f>
        <v>5000</v>
      </c>
      <c r="F48" s="21">
        <f t="array" ref="F48">COUNTIFS('Sources - Observations (Berlin)'!$A$5:$A$314,$A48,'Sources - Observations (Berlin)'!$B$5:$B$314,$B48)</f>
        <v>2</v>
      </c>
      <c r="G48" s="41">
        <f t="array" ref="G48">IFERROR(AVERAGEIFS('Sources - Observations (Berlin)'!$C$5:$C$314,'Sources - Observations (Berlin)'!$A$5:$A$314,$A48,'Sources - Observations (Berlin)'!$B$5:$B$314,$B48),"")</f>
        <v>9500</v>
      </c>
      <c r="H48" s="106" t="s">
        <v>295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104" t="s">
        <v>55</v>
      </c>
      <c r="B49" s="21">
        <v>2019.0</v>
      </c>
      <c r="C49" s="109" t="str">
        <f t="array" ref="C49">IFERROR(AVERAGEIFS('Sources - Observations (Berlin)'!$C$5:$C$314,'Sources - Observations (Berlin)'!$A$5:$A$314,$A49,'Sources - Observations (Berlin)'!$B$5:$B$314,$B49,'Sources - Observations (Berlin)'!$D$5:$D$314,"press"),"")</f>
        <v/>
      </c>
      <c r="D49" s="24">
        <f t="array" ref="D49">IFERROR(AVERAGEIFS('Sources - Observations (Berlin)'!$C$5:$C$314,'Sources - Observations (Berlin)'!$A$5:$A$314,$A49,'Sources - Observations (Berlin)'!$B$5:$B$314,$B49,'Sources - Observations (Berlin)'!$D$5:$D$314,"organisers"),"")</f>
        <v>13000</v>
      </c>
      <c r="E49" s="109" t="str">
        <f t="array" ref="E49">IFERROR(AVERAGEIFS('Sources - Observations (Berlin)'!$C$5:$C$314,'Sources - Observations (Berlin)'!$A$5:$A$314,$A49,'Sources - Observations (Berlin)'!$B$5:$B$314,$B49,'Sources - Observations (Berlin)'!$D$5:$D$314,"police"),"")</f>
        <v/>
      </c>
      <c r="F49" s="21">
        <f t="array" ref="F49">COUNTIFS('Sources - Observations (Berlin)'!$A$5:$A$314,$A49,'Sources - Observations (Berlin)'!$B$5:$B$314,$B49)</f>
        <v>1</v>
      </c>
      <c r="G49" s="41">
        <f t="array" ref="G49">IFERROR(AVERAGEIFS('Sources - Observations (Berlin)'!$C$5:$C$314,'Sources - Observations (Berlin)'!$A$5:$A$314,$A49,'Sources - Observations (Berlin)'!$B$5:$B$314,$B49),"")</f>
        <v>13000</v>
      </c>
      <c r="H49" s="106" t="s">
        <v>295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104" t="s">
        <v>61</v>
      </c>
      <c r="B50" s="21">
        <v>2006.0</v>
      </c>
      <c r="C50" s="24">
        <f t="array" ref="C50">IFERROR(AVERAGEIFS('Sources - Observations (Berlin)'!$C$5:$C$314,'Sources - Observations (Berlin)'!$A$5:$A$314,$A50,'Sources - Observations (Berlin)'!$B$5:$B$314,$B50,'Sources - Observations (Berlin)'!$D$5:$D$314,"press"),"")</f>
        <v>4000</v>
      </c>
      <c r="D50" s="109" t="str">
        <f t="array" ref="D50">IFERROR(AVERAGEIFS('Sources - Observations (Berlin)'!$C$5:$C$314,'Sources - Observations (Berlin)'!$A$5:$A$314,$A50,'Sources - Observations (Berlin)'!$B$5:$B$314,$B50,'Sources - Observations (Berlin)'!$D$5:$D$314,"organisers"),"")</f>
        <v/>
      </c>
      <c r="E50" s="109" t="str">
        <f t="array" ref="E50">IFERROR(AVERAGEIFS('Sources - Observations (Berlin)'!$C$5:$C$314,'Sources - Observations (Berlin)'!$A$5:$A$314,$A50,'Sources - Observations (Berlin)'!$B$5:$B$314,$B50,'Sources - Observations (Berlin)'!$D$5:$D$314,"police"),"")</f>
        <v/>
      </c>
      <c r="F50" s="21">
        <f t="array" ref="F50">COUNTIFS('Sources - Observations (Berlin)'!$A$5:$A$314,$A50,'Sources - Observations (Berlin)'!$B$5:$B$314,$B50)</f>
        <v>1</v>
      </c>
      <c r="G50" s="41">
        <f t="array" ref="G50">IFERROR(AVERAGEIFS('Sources - Observations (Berlin)'!$C$5:$C$314,'Sources - Observations (Berlin)'!$A$5:$A$314,$A50,'Sources - Observations (Berlin)'!$B$5:$B$314,$B50),"")</f>
        <v>4000</v>
      </c>
      <c r="H50" s="106" t="s">
        <v>295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104" t="s">
        <v>61</v>
      </c>
      <c r="B51" s="21">
        <v>2007.0</v>
      </c>
      <c r="C51" s="24">
        <f t="array" ref="C51">IFERROR(AVERAGEIFS('Sources - Observations (Berlin)'!$C$5:$C$314,'Sources - Observations (Berlin)'!$A$5:$A$314,$A51,'Sources - Observations (Berlin)'!$B$5:$B$314,$B51,'Sources - Observations (Berlin)'!$D$5:$D$314,"press"),"")</f>
        <v>7000</v>
      </c>
      <c r="D51" s="109" t="str">
        <f t="array" ref="D51">IFERROR(AVERAGEIFS('Sources - Observations (Berlin)'!$C$5:$C$314,'Sources - Observations (Berlin)'!$A$5:$A$314,$A51,'Sources - Observations (Berlin)'!$B$5:$B$314,$B51,'Sources - Observations (Berlin)'!$D$5:$D$314,"organisers"),"")</f>
        <v/>
      </c>
      <c r="E51" s="109" t="str">
        <f t="array" ref="E51">IFERROR(AVERAGEIFS('Sources - Observations (Berlin)'!$C$5:$C$314,'Sources - Observations (Berlin)'!$A$5:$A$314,$A51,'Sources - Observations (Berlin)'!$B$5:$B$314,$B51,'Sources - Observations (Berlin)'!$D$5:$D$314,"police"),"")</f>
        <v/>
      </c>
      <c r="F51" s="21">
        <f t="array" ref="F51">COUNTIFS('Sources - Observations (Berlin)'!$A$5:$A$314,$A51,'Sources - Observations (Berlin)'!$B$5:$B$314,$B51)</f>
        <v>2</v>
      </c>
      <c r="G51" s="41">
        <f t="array" ref="G51">IFERROR(AVERAGEIFS('Sources - Observations (Berlin)'!$C$5:$C$314,'Sources - Observations (Berlin)'!$A$5:$A$314,$A51,'Sources - Observations (Berlin)'!$B$5:$B$314,$B51),"")</f>
        <v>7000</v>
      </c>
      <c r="H51" s="106" t="s">
        <v>295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104" t="s">
        <v>61</v>
      </c>
      <c r="B52" s="21">
        <v>2008.0</v>
      </c>
      <c r="C52" s="109" t="str">
        <f t="array" ref="C52">IFERROR(AVERAGEIFS('Sources - Observations (Berlin)'!$C$5:$C$314,'Sources - Observations (Berlin)'!$A$5:$A$314,$A52,'Sources - Observations (Berlin)'!$B$5:$B$314,$B52,'Sources - Observations (Berlin)'!$D$5:$D$314,"press"),"")</f>
        <v/>
      </c>
      <c r="D52" s="24">
        <f t="array" ref="D52">IFERROR(AVERAGEIFS('Sources - Observations (Berlin)'!$C$5:$C$314,'Sources - Observations (Berlin)'!$A$5:$A$314,$A52,'Sources - Observations (Berlin)'!$B$5:$B$314,$B52,'Sources - Observations (Berlin)'!$D$5:$D$314,"organisers"),"")</f>
        <v>6500</v>
      </c>
      <c r="E52" s="109" t="str">
        <f t="array" ref="E52">IFERROR(AVERAGEIFS('Sources - Observations (Berlin)'!$C$5:$C$314,'Sources - Observations (Berlin)'!$A$5:$A$314,$A52,'Sources - Observations (Berlin)'!$B$5:$B$314,$B52,'Sources - Observations (Berlin)'!$D$5:$D$314,"police"),"")</f>
        <v/>
      </c>
      <c r="F52" s="21">
        <f t="array" ref="F52">COUNTIFS('Sources - Observations (Berlin)'!$A$5:$A$314,$A52,'Sources - Observations (Berlin)'!$B$5:$B$314,$B52)</f>
        <v>1</v>
      </c>
      <c r="G52" s="41">
        <f t="array" ref="G52">IFERROR(AVERAGEIFS('Sources - Observations (Berlin)'!$C$5:$C$314,'Sources - Observations (Berlin)'!$A$5:$A$314,$A52,'Sources - Observations (Berlin)'!$B$5:$B$314,$B52),"")</f>
        <v>6500</v>
      </c>
      <c r="H52" s="106" t="s">
        <v>295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104" t="s">
        <v>61</v>
      </c>
      <c r="B53" s="21">
        <v>2009.0</v>
      </c>
      <c r="C53" s="109" t="str">
        <f t="array" ref="C53">IFERROR(AVERAGEIFS('Sources - Observations (Berlin)'!$C$5:$C$314,'Sources - Observations (Berlin)'!$A$5:$A$314,$A53,'Sources - Observations (Berlin)'!$B$5:$B$314,$B53,'Sources - Observations (Berlin)'!$D$5:$D$314,"press"),"")</f>
        <v/>
      </c>
      <c r="D53" s="24">
        <f t="array" ref="D53">IFERROR(AVERAGEIFS('Sources - Observations (Berlin)'!$C$5:$C$314,'Sources - Observations (Berlin)'!$A$5:$A$314,$A53,'Sources - Observations (Berlin)'!$B$5:$B$314,$B53,'Sources - Observations (Berlin)'!$D$5:$D$314,"organisers"),"")</f>
        <v>3500</v>
      </c>
      <c r="E53" s="109" t="str">
        <f t="array" ref="E53">IFERROR(AVERAGEIFS('Sources - Observations (Berlin)'!$C$5:$C$314,'Sources - Observations (Berlin)'!$A$5:$A$314,$A53,'Sources - Observations (Berlin)'!$B$5:$B$314,$B53,'Sources - Observations (Berlin)'!$D$5:$D$314,"police"),"")</f>
        <v/>
      </c>
      <c r="F53" s="21">
        <f t="array" ref="F53">COUNTIFS('Sources - Observations (Berlin)'!$A$5:$A$314,$A53,'Sources - Observations (Berlin)'!$B$5:$B$314,$B53)</f>
        <v>1</v>
      </c>
      <c r="G53" s="41">
        <f t="array" ref="G53">IFERROR(AVERAGEIFS('Sources - Observations (Berlin)'!$C$5:$C$314,'Sources - Observations (Berlin)'!$A$5:$A$314,$A53,'Sources - Observations (Berlin)'!$B$5:$B$314,$B53),"")</f>
        <v>3500</v>
      </c>
      <c r="H53" s="106" t="s">
        <v>295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104" t="s">
        <v>65</v>
      </c>
      <c r="B54" s="21">
        <v>1998.0</v>
      </c>
      <c r="C54" s="24">
        <f t="array" ref="C54">IFERROR(AVERAGEIFS('Sources - Observations (Berlin)'!$C$5:$C$314,'Sources - Observations (Berlin)'!$A$5:$A$314,$A54,'Sources - Observations (Berlin)'!$B$5:$B$314,$B54,'Sources - Observations (Berlin)'!$D$5:$D$314,"press"),"")</f>
        <v>1500</v>
      </c>
      <c r="D54" s="109" t="str">
        <f t="array" ref="D54">IFERROR(AVERAGEIFS('Sources - Observations (Berlin)'!$C$5:$C$314,'Sources - Observations (Berlin)'!$A$5:$A$314,$A54,'Sources - Observations (Berlin)'!$B$5:$B$314,$B54,'Sources - Observations (Berlin)'!$D$5:$D$314,"organisers"),"")</f>
        <v/>
      </c>
      <c r="E54" s="109" t="str">
        <f t="array" ref="E54">IFERROR(AVERAGEIFS('Sources - Observations (Berlin)'!$C$5:$C$314,'Sources - Observations (Berlin)'!$A$5:$A$314,$A54,'Sources - Observations (Berlin)'!$B$5:$B$314,$B54,'Sources - Observations (Berlin)'!$D$5:$D$314,"police"),"")</f>
        <v/>
      </c>
      <c r="F54" s="21">
        <f t="array" ref="F54">COUNTIFS('Sources - Observations (Berlin)'!$A$5:$A$314,$A54,'Sources - Observations (Berlin)'!$B$5:$B$314,$B54)</f>
        <v>1</v>
      </c>
      <c r="G54" s="41">
        <f t="array" ref="G54">IFERROR(AVERAGEIFS('Sources - Observations (Berlin)'!$C$5:$C$314,'Sources - Observations (Berlin)'!$A$5:$A$314,$A54,'Sources - Observations (Berlin)'!$B$5:$B$314,$B54),"")</f>
        <v>1500</v>
      </c>
      <c r="H54" s="106" t="s">
        <v>295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104" t="s">
        <v>65</v>
      </c>
      <c r="B55" s="21">
        <v>2000.0</v>
      </c>
      <c r="C55" s="24">
        <f t="array" ref="C55">IFERROR(AVERAGEIFS('Sources - Observations (Berlin)'!$C$5:$C$314,'Sources - Observations (Berlin)'!$A$5:$A$314,$A55,'Sources - Observations (Berlin)'!$B$5:$B$314,$B55,'Sources - Observations (Berlin)'!$D$5:$D$314,"press"),"")</f>
        <v>5000</v>
      </c>
      <c r="D55" s="109" t="str">
        <f t="array" ref="D55">IFERROR(AVERAGEIFS('Sources - Observations (Berlin)'!$C$5:$C$314,'Sources - Observations (Berlin)'!$A$5:$A$314,$A55,'Sources - Observations (Berlin)'!$B$5:$B$314,$B55,'Sources - Observations (Berlin)'!$D$5:$D$314,"organisers"),"")</f>
        <v/>
      </c>
      <c r="E55" s="109" t="str">
        <f t="array" ref="E55">IFERROR(AVERAGEIFS('Sources - Observations (Berlin)'!$C$5:$C$314,'Sources - Observations (Berlin)'!$A$5:$A$314,$A55,'Sources - Observations (Berlin)'!$B$5:$B$314,$B55,'Sources - Observations (Berlin)'!$D$5:$D$314,"police"),"")</f>
        <v/>
      </c>
      <c r="F55" s="21">
        <f t="array" ref="F55">COUNTIFS('Sources - Observations (Berlin)'!$A$5:$A$314,$A55,'Sources - Observations (Berlin)'!$B$5:$B$314,$B55)</f>
        <v>1</v>
      </c>
      <c r="G55" s="41">
        <f t="array" ref="G55">IFERROR(AVERAGEIFS('Sources - Observations (Berlin)'!$C$5:$C$314,'Sources - Observations (Berlin)'!$A$5:$A$314,$A55,'Sources - Observations (Berlin)'!$B$5:$B$314,$B55),"")</f>
        <v>5000</v>
      </c>
      <c r="H55" s="106" t="s">
        <v>295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104" t="s">
        <v>65</v>
      </c>
      <c r="B56" s="21">
        <v>2001.0</v>
      </c>
      <c r="C56" s="24">
        <f t="array" ref="C56">IFERROR(AVERAGEIFS('Sources - Observations (Berlin)'!$C$5:$C$314,'Sources - Observations (Berlin)'!$A$5:$A$314,$A56,'Sources - Observations (Berlin)'!$B$5:$B$314,$B56,'Sources - Observations (Berlin)'!$D$5:$D$314,"press"),"")</f>
        <v>5000</v>
      </c>
      <c r="D56" s="109" t="str">
        <f t="array" ref="D56">IFERROR(AVERAGEIFS('Sources - Observations (Berlin)'!$C$5:$C$314,'Sources - Observations (Berlin)'!$A$5:$A$314,$A56,'Sources - Observations (Berlin)'!$B$5:$B$314,$B56,'Sources - Observations (Berlin)'!$D$5:$D$314,"organisers"),"")</f>
        <v/>
      </c>
      <c r="E56" s="109" t="str">
        <f t="array" ref="E56">IFERROR(AVERAGEIFS('Sources - Observations (Berlin)'!$C$5:$C$314,'Sources - Observations (Berlin)'!$A$5:$A$314,$A56,'Sources - Observations (Berlin)'!$B$5:$B$314,$B56,'Sources - Observations (Berlin)'!$D$5:$D$314,"police"),"")</f>
        <v/>
      </c>
      <c r="F56" s="21">
        <f t="array" ref="F56">COUNTIFS('Sources - Observations (Berlin)'!$A$5:$A$314,$A56,'Sources - Observations (Berlin)'!$B$5:$B$314,$B56)</f>
        <v>1</v>
      </c>
      <c r="G56" s="41">
        <f t="array" ref="G56">IFERROR(AVERAGEIFS('Sources - Observations (Berlin)'!$C$5:$C$314,'Sources - Observations (Berlin)'!$A$5:$A$314,$A56,'Sources - Observations (Berlin)'!$B$5:$B$314,$B56),"")</f>
        <v>5000</v>
      </c>
      <c r="H56" s="106" t="s">
        <v>295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104" t="s">
        <v>65</v>
      </c>
      <c r="B57" s="21">
        <v>2003.0</v>
      </c>
      <c r="C57" s="24">
        <f t="array" ref="C57">IFERROR(AVERAGEIFS('Sources - Observations (Berlin)'!$C$5:$C$314,'Sources - Observations (Berlin)'!$A$5:$A$314,$A57,'Sources - Observations (Berlin)'!$B$5:$B$314,$B57,'Sources - Observations (Berlin)'!$D$5:$D$314,"press"),"")</f>
        <v>20000</v>
      </c>
      <c r="D57" s="109" t="str">
        <f t="array" ref="D57">IFERROR(AVERAGEIFS('Sources - Observations (Berlin)'!$C$5:$C$314,'Sources - Observations (Berlin)'!$A$5:$A$314,$A57,'Sources - Observations (Berlin)'!$B$5:$B$314,$B57,'Sources - Observations (Berlin)'!$D$5:$D$314,"organisers"),"")</f>
        <v/>
      </c>
      <c r="E57" s="109" t="str">
        <f t="array" ref="E57">IFERROR(AVERAGEIFS('Sources - Observations (Berlin)'!$C$5:$C$314,'Sources - Observations (Berlin)'!$A$5:$A$314,$A57,'Sources - Observations (Berlin)'!$B$5:$B$314,$B57,'Sources - Observations (Berlin)'!$D$5:$D$314,"police"),"")</f>
        <v/>
      </c>
      <c r="F57" s="21">
        <f t="array" ref="F57">COUNTIFS('Sources - Observations (Berlin)'!$A$5:$A$314,$A57,'Sources - Observations (Berlin)'!$B$5:$B$314,$B57)</f>
        <v>1</v>
      </c>
      <c r="G57" s="41">
        <f t="array" ref="G57">IFERROR(AVERAGEIFS('Sources - Observations (Berlin)'!$C$5:$C$314,'Sources - Observations (Berlin)'!$A$5:$A$314,$A57,'Sources - Observations (Berlin)'!$B$5:$B$314,$B57),"")</f>
        <v>20000</v>
      </c>
      <c r="H57" s="106" t="s">
        <v>295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104" t="s">
        <v>64</v>
      </c>
      <c r="B58" s="21">
        <v>2003.0</v>
      </c>
      <c r="C58" s="24">
        <f t="array" ref="C58">IFERROR(AVERAGEIFS('Sources - Observations (Berlin)'!$C$5:$C$314,'Sources - Observations (Berlin)'!$A$5:$A$314,$A58,'Sources - Observations (Berlin)'!$B$5:$B$314,$B58,'Sources - Observations (Berlin)'!$D$5:$D$314,"press"),"")</f>
        <v>20000</v>
      </c>
      <c r="D58" s="109" t="str">
        <f t="array" ref="D58">IFERROR(AVERAGEIFS('Sources - Observations (Berlin)'!$C$5:$C$314,'Sources - Observations (Berlin)'!$A$5:$A$314,$A58,'Sources - Observations (Berlin)'!$B$5:$B$314,$B58,'Sources - Observations (Berlin)'!$D$5:$D$314,"organisers"),"")</f>
        <v/>
      </c>
      <c r="E58" s="109" t="str">
        <f t="array" ref="E58">IFERROR(AVERAGEIFS('Sources - Observations (Berlin)'!$C$5:$C$314,'Sources - Observations (Berlin)'!$A$5:$A$314,$A58,'Sources - Observations (Berlin)'!$B$5:$B$314,$B58,'Sources - Observations (Berlin)'!$D$5:$D$314,"police"),"")</f>
        <v/>
      </c>
      <c r="F58" s="21">
        <f t="array" ref="F58">COUNTIFS('Sources - Observations (Berlin)'!$A$5:$A$314,$A58,'Sources - Observations (Berlin)'!$B$5:$B$314,$B58)</f>
        <v>1</v>
      </c>
      <c r="G58" s="41">
        <f t="array" ref="G58">IFERROR(AVERAGEIFS('Sources - Observations (Berlin)'!$C$5:$C$314,'Sources - Observations (Berlin)'!$A$5:$A$314,$A58,'Sources - Observations (Berlin)'!$B$5:$B$314,$B58),"")</f>
        <v>20000</v>
      </c>
      <c r="H58" s="106" t="s">
        <v>295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104" t="s">
        <v>64</v>
      </c>
      <c r="B59" s="21">
        <v>2004.0</v>
      </c>
      <c r="C59" s="24">
        <f t="array" ref="C59">IFERROR(AVERAGEIFS('Sources - Observations (Berlin)'!$C$5:$C$314,'Sources - Observations (Berlin)'!$A$5:$A$314,$A59,'Sources - Observations (Berlin)'!$B$5:$B$314,$B59,'Sources - Observations (Berlin)'!$D$5:$D$314,"press"),"")</f>
        <v>30000</v>
      </c>
      <c r="D59" s="109" t="str">
        <f t="array" ref="D59">IFERROR(AVERAGEIFS('Sources - Observations (Berlin)'!$C$5:$C$314,'Sources - Observations (Berlin)'!$A$5:$A$314,$A59,'Sources - Observations (Berlin)'!$B$5:$B$314,$B59,'Sources - Observations (Berlin)'!$D$5:$D$314,"organisers"),"")</f>
        <v/>
      </c>
      <c r="E59" s="109" t="str">
        <f t="array" ref="E59">IFERROR(AVERAGEIFS('Sources - Observations (Berlin)'!$C$5:$C$314,'Sources - Observations (Berlin)'!$A$5:$A$314,$A59,'Sources - Observations (Berlin)'!$B$5:$B$314,$B59,'Sources - Observations (Berlin)'!$D$5:$D$314,"police"),"")</f>
        <v/>
      </c>
      <c r="F59" s="21">
        <f t="array" ref="F59">COUNTIFS('Sources - Observations (Berlin)'!$A$5:$A$314,$A59,'Sources - Observations (Berlin)'!$B$5:$B$314,$B59)</f>
        <v>1</v>
      </c>
      <c r="G59" s="41">
        <f t="array" ref="G59">IFERROR(AVERAGEIFS('Sources - Observations (Berlin)'!$C$5:$C$314,'Sources - Observations (Berlin)'!$A$5:$A$314,$A59,'Sources - Observations (Berlin)'!$B$5:$B$314,$B59),"")</f>
        <v>30000</v>
      </c>
      <c r="H59" s="106" t="s">
        <v>295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104" t="s">
        <v>64</v>
      </c>
      <c r="B60" s="21">
        <v>2005.0</v>
      </c>
      <c r="C60" s="109" t="str">
        <f t="array" ref="C60">IFERROR(AVERAGEIFS('Sources - Observations (Berlin)'!$C$5:$C$314,'Sources - Observations (Berlin)'!$A$5:$A$314,$A60,'Sources - Observations (Berlin)'!$B$5:$B$314,$B60,'Sources - Observations (Berlin)'!$D$5:$D$314,"press"),"")</f>
        <v/>
      </c>
      <c r="D60" s="109" t="str">
        <f t="array" ref="D60">IFERROR(AVERAGEIFS('Sources - Observations (Berlin)'!$C$5:$C$314,'Sources - Observations (Berlin)'!$A$5:$A$314,$A60,'Sources - Observations (Berlin)'!$B$5:$B$314,$B60,'Sources - Observations (Berlin)'!$D$5:$D$314,"organisers"),"")</f>
        <v/>
      </c>
      <c r="E60" s="24">
        <f t="array" ref="E60">IFERROR(AVERAGEIFS('Sources - Observations (Berlin)'!$C$5:$C$314,'Sources - Observations (Berlin)'!$A$5:$A$314,$A60,'Sources - Observations (Berlin)'!$B$5:$B$314,$B60,'Sources - Observations (Berlin)'!$D$5:$D$314,"police"),"")</f>
        <v>15000</v>
      </c>
      <c r="F60" s="21">
        <f t="array" ref="F60">COUNTIFS('Sources - Observations (Berlin)'!$A$5:$A$314,$A60,'Sources - Observations (Berlin)'!$B$5:$B$314,$B60)</f>
        <v>1</v>
      </c>
      <c r="G60" s="41">
        <f t="array" ref="G60">IFERROR(AVERAGEIFS('Sources - Observations (Berlin)'!$C$5:$C$314,'Sources - Observations (Berlin)'!$A$5:$A$314,$A60,'Sources - Observations (Berlin)'!$B$5:$B$314,$B60),"")</f>
        <v>15000</v>
      </c>
      <c r="H60" s="106" t="s">
        <v>295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104" t="s">
        <v>64</v>
      </c>
      <c r="B61" s="21">
        <v>2006.0</v>
      </c>
      <c r="C61" s="109" t="str">
        <f t="array" ref="C61">IFERROR(AVERAGEIFS('Sources - Observations (Berlin)'!$C$5:$C$314,'Sources - Observations (Berlin)'!$A$5:$A$314,$A61,'Sources - Observations (Berlin)'!$B$5:$B$314,$B61,'Sources - Observations (Berlin)'!$D$5:$D$314,"press"),"")</f>
        <v/>
      </c>
      <c r="D61" s="109" t="str">
        <f t="array" ref="D61">IFERROR(AVERAGEIFS('Sources - Observations (Berlin)'!$C$5:$C$314,'Sources - Observations (Berlin)'!$A$5:$A$314,$A61,'Sources - Observations (Berlin)'!$B$5:$B$314,$B61,'Sources - Observations (Berlin)'!$D$5:$D$314,"organisers"),"")</f>
        <v/>
      </c>
      <c r="E61" s="24">
        <f t="array" ref="E61">IFERROR(AVERAGEIFS('Sources - Observations (Berlin)'!$C$5:$C$314,'Sources - Observations (Berlin)'!$A$5:$A$314,$A61,'Sources - Observations (Berlin)'!$B$5:$B$314,$B61,'Sources - Observations (Berlin)'!$D$5:$D$314,"police"),"")</f>
        <v>11000</v>
      </c>
      <c r="F61" s="21">
        <f t="array" ref="F61">COUNTIFS('Sources - Observations (Berlin)'!$A$5:$A$314,$A61,'Sources - Observations (Berlin)'!$B$5:$B$314,$B61)</f>
        <v>1</v>
      </c>
      <c r="G61" s="41">
        <f t="array" ref="G61">IFERROR(AVERAGEIFS('Sources - Observations (Berlin)'!$C$5:$C$314,'Sources - Observations (Berlin)'!$A$5:$A$314,$A61,'Sources - Observations (Berlin)'!$B$5:$B$314,$B61),"")</f>
        <v>11000</v>
      </c>
      <c r="H61" s="106" t="s">
        <v>295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104" t="s">
        <v>64</v>
      </c>
      <c r="B62" s="21">
        <v>2007.0</v>
      </c>
      <c r="C62" s="24">
        <f t="array" ref="C62">IFERROR(AVERAGEIFS('Sources - Observations (Berlin)'!$C$5:$C$314,'Sources - Observations (Berlin)'!$A$5:$A$314,$A62,'Sources - Observations (Berlin)'!$B$5:$B$314,$B62,'Sources - Observations (Berlin)'!$D$5:$D$314,"press"),"")</f>
        <v>50000</v>
      </c>
      <c r="D62" s="24">
        <f t="array" ref="D62">IFERROR(AVERAGEIFS('Sources - Observations (Berlin)'!$C$5:$C$314,'Sources - Observations (Berlin)'!$A$5:$A$314,$A62,'Sources - Observations (Berlin)'!$B$5:$B$314,$B62,'Sources - Observations (Berlin)'!$D$5:$D$314,"organisers"),"")</f>
        <v>60000</v>
      </c>
      <c r="E62" s="24">
        <f t="array" ref="E62">IFERROR(AVERAGEIFS('Sources - Observations (Berlin)'!$C$5:$C$314,'Sources - Observations (Berlin)'!$A$5:$A$314,$A62,'Sources - Observations (Berlin)'!$B$5:$B$314,$B62,'Sources - Observations (Berlin)'!$D$5:$D$314,"police"),"")</f>
        <v>16000</v>
      </c>
      <c r="F62" s="21">
        <f t="array" ref="F62">COUNTIFS('Sources - Observations (Berlin)'!$A$5:$A$314,$A62,'Sources - Observations (Berlin)'!$B$5:$B$314,$B62)</f>
        <v>3</v>
      </c>
      <c r="G62" s="41">
        <f t="array" ref="G62">IFERROR(AVERAGEIFS('Sources - Observations (Berlin)'!$C$5:$C$314,'Sources - Observations (Berlin)'!$A$5:$A$314,$A62,'Sources - Observations (Berlin)'!$B$5:$B$314,$B62),"")</f>
        <v>42000</v>
      </c>
      <c r="H62" s="106" t="s">
        <v>295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104" t="s">
        <v>64</v>
      </c>
      <c r="B63" s="21">
        <v>2008.0</v>
      </c>
      <c r="C63" s="109" t="str">
        <f t="array" ref="C63">IFERROR(AVERAGEIFS('Sources - Observations (Berlin)'!$C$5:$C$314,'Sources - Observations (Berlin)'!$A$5:$A$314,$A63,'Sources - Observations (Berlin)'!$B$5:$B$314,$B63,'Sources - Observations (Berlin)'!$D$5:$D$314,"press"),"")</f>
        <v/>
      </c>
      <c r="D63" s="109" t="str">
        <f t="array" ref="D63">IFERROR(AVERAGEIFS('Sources - Observations (Berlin)'!$C$5:$C$314,'Sources - Observations (Berlin)'!$A$5:$A$314,$A63,'Sources - Observations (Berlin)'!$B$5:$B$314,$B63,'Sources - Observations (Berlin)'!$D$5:$D$314,"organisers"),"")</f>
        <v/>
      </c>
      <c r="E63" s="24">
        <f t="array" ref="E63">IFERROR(AVERAGEIFS('Sources - Observations (Berlin)'!$C$5:$C$314,'Sources - Observations (Berlin)'!$A$5:$A$314,$A63,'Sources - Observations (Berlin)'!$B$5:$B$314,$B63,'Sources - Observations (Berlin)'!$D$5:$D$314,"police"),"")</f>
        <v>20000</v>
      </c>
      <c r="F63" s="21">
        <f t="array" ref="F63">COUNTIFS('Sources - Observations (Berlin)'!$A$5:$A$314,$A63,'Sources - Observations (Berlin)'!$B$5:$B$314,$B63)</f>
        <v>1</v>
      </c>
      <c r="G63" s="41">
        <f t="array" ref="G63">IFERROR(AVERAGEIFS('Sources - Observations (Berlin)'!$C$5:$C$314,'Sources - Observations (Berlin)'!$A$5:$A$314,$A63,'Sources - Observations (Berlin)'!$B$5:$B$314,$B63),"")</f>
        <v>20000</v>
      </c>
      <c r="H63" s="106" t="s">
        <v>295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104" t="s">
        <v>64</v>
      </c>
      <c r="B64" s="21">
        <v>2009.0</v>
      </c>
      <c r="C64" s="109" t="str">
        <f t="array" ref="C64">IFERROR(AVERAGEIFS('Sources - Observations (Berlin)'!$C$5:$C$314,'Sources - Observations (Berlin)'!$A$5:$A$314,$A64,'Sources - Observations (Berlin)'!$B$5:$B$314,$B64,'Sources - Observations (Berlin)'!$D$5:$D$314,"press"),"")</f>
        <v/>
      </c>
      <c r="D64" s="109" t="str">
        <f t="array" ref="D64">IFERROR(AVERAGEIFS('Sources - Observations (Berlin)'!$C$5:$C$314,'Sources - Observations (Berlin)'!$A$5:$A$314,$A64,'Sources - Observations (Berlin)'!$B$5:$B$314,$B64,'Sources - Observations (Berlin)'!$D$5:$D$314,"organisers"),"")</f>
        <v/>
      </c>
      <c r="E64" s="24">
        <f t="array" ref="E64">IFERROR(AVERAGEIFS('Sources - Observations (Berlin)'!$C$5:$C$314,'Sources - Observations (Berlin)'!$A$5:$A$314,$A64,'Sources - Observations (Berlin)'!$B$5:$B$314,$B64,'Sources - Observations (Berlin)'!$D$5:$D$314,"police"),"")</f>
        <v>35000</v>
      </c>
      <c r="F64" s="21">
        <f t="array" ref="F64">COUNTIFS('Sources - Observations (Berlin)'!$A$5:$A$314,$A64,'Sources - Observations (Berlin)'!$B$5:$B$314,$B64)</f>
        <v>1</v>
      </c>
      <c r="G64" s="41">
        <f t="array" ref="G64">IFERROR(AVERAGEIFS('Sources - Observations (Berlin)'!$C$5:$C$314,'Sources - Observations (Berlin)'!$A$5:$A$314,$A64,'Sources - Observations (Berlin)'!$B$5:$B$314,$B64),"")</f>
        <v>35000</v>
      </c>
      <c r="H64" s="106" t="s">
        <v>295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104" t="s">
        <v>64</v>
      </c>
      <c r="B65" s="21">
        <v>2010.0</v>
      </c>
      <c r="C65" s="109" t="str">
        <f t="array" ref="C65">IFERROR(AVERAGEIFS('Sources - Observations (Berlin)'!$C$5:$C$314,'Sources - Observations (Berlin)'!$A$5:$A$314,$A65,'Sources - Observations (Berlin)'!$B$5:$B$314,$B65,'Sources - Observations (Berlin)'!$D$5:$D$314,"press"),"")</f>
        <v/>
      </c>
      <c r="D65" s="109" t="str">
        <f t="array" ref="D65">IFERROR(AVERAGEIFS('Sources - Observations (Berlin)'!$C$5:$C$314,'Sources - Observations (Berlin)'!$A$5:$A$314,$A65,'Sources - Observations (Berlin)'!$B$5:$B$314,$B65,'Sources - Observations (Berlin)'!$D$5:$D$314,"organisers"),"")</f>
        <v/>
      </c>
      <c r="E65" s="24">
        <f t="array" ref="E65">IFERROR(AVERAGEIFS('Sources - Observations (Berlin)'!$C$5:$C$314,'Sources - Observations (Berlin)'!$A$5:$A$314,$A65,'Sources - Observations (Berlin)'!$B$5:$B$314,$B65,'Sources - Observations (Berlin)'!$D$5:$D$314,"police"),"")</f>
        <v>29000</v>
      </c>
      <c r="F65" s="21">
        <f t="array" ref="F65">COUNTIFS('Sources - Observations (Berlin)'!$A$5:$A$314,$A65,'Sources - Observations (Berlin)'!$B$5:$B$314,$B65)</f>
        <v>1</v>
      </c>
      <c r="G65" s="41">
        <f t="array" ref="G65">IFERROR(AVERAGEIFS('Sources - Observations (Berlin)'!$C$5:$C$314,'Sources - Observations (Berlin)'!$A$5:$A$314,$A65,'Sources - Observations (Berlin)'!$B$5:$B$314,$B65),"")</f>
        <v>29000</v>
      </c>
      <c r="H65" s="106" t="s">
        <v>295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104" t="s">
        <v>64</v>
      </c>
      <c r="B66" s="21">
        <v>2011.0</v>
      </c>
      <c r="C66" s="109" t="str">
        <f t="array" ref="C66">IFERROR(AVERAGEIFS('Sources - Observations (Berlin)'!$C$5:$C$314,'Sources - Observations (Berlin)'!$A$5:$A$314,$A66,'Sources - Observations (Berlin)'!$B$5:$B$314,$B66,'Sources - Observations (Berlin)'!$D$5:$D$314,"press"),"")</f>
        <v/>
      </c>
      <c r="D66" s="109" t="str">
        <f t="array" ref="D66">IFERROR(AVERAGEIFS('Sources - Observations (Berlin)'!$C$5:$C$314,'Sources - Observations (Berlin)'!$A$5:$A$314,$A66,'Sources - Observations (Berlin)'!$B$5:$B$314,$B66,'Sources - Observations (Berlin)'!$D$5:$D$314,"organisers"),"")</f>
        <v/>
      </c>
      <c r="E66" s="24">
        <f t="array" ref="E66">IFERROR(AVERAGEIFS('Sources - Observations (Berlin)'!$C$5:$C$314,'Sources - Observations (Berlin)'!$A$5:$A$314,$A66,'Sources - Observations (Berlin)'!$B$5:$B$314,$B66,'Sources - Observations (Berlin)'!$D$5:$D$314,"police"),"")</f>
        <v>27000</v>
      </c>
      <c r="F66" s="21">
        <f t="array" ref="F66">COUNTIFS('Sources - Observations (Berlin)'!$A$5:$A$314,$A66,'Sources - Observations (Berlin)'!$B$5:$B$314,$B66)</f>
        <v>2</v>
      </c>
      <c r="G66" s="41">
        <f t="array" ref="G66">IFERROR(AVERAGEIFS('Sources - Observations (Berlin)'!$C$5:$C$314,'Sources - Observations (Berlin)'!$A$5:$A$314,$A66,'Sources - Observations (Berlin)'!$B$5:$B$314,$B66),"")</f>
        <v>27000</v>
      </c>
      <c r="H66" s="106" t="s">
        <v>295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104" t="s">
        <v>64</v>
      </c>
      <c r="B67" s="21">
        <v>2012.0</v>
      </c>
      <c r="C67" s="24">
        <f t="array" ref="C67">IFERROR(AVERAGEIFS('Sources - Observations (Berlin)'!$C$5:$C$314,'Sources - Observations (Berlin)'!$A$5:$A$314,$A67,'Sources - Observations (Berlin)'!$B$5:$B$314,$B67,'Sources - Observations (Berlin)'!$D$5:$D$314,"press"),"")</f>
        <v>32500</v>
      </c>
      <c r="D67" s="109" t="str">
        <f t="array" ref="D67">IFERROR(AVERAGEIFS('Sources - Observations (Berlin)'!$C$5:$C$314,'Sources - Observations (Berlin)'!$A$5:$A$314,$A67,'Sources - Observations (Berlin)'!$B$5:$B$314,$B67,'Sources - Observations (Berlin)'!$D$5:$D$314,"organisers"),"")</f>
        <v/>
      </c>
      <c r="E67" s="24">
        <f t="array" ref="E67">IFERROR(AVERAGEIFS('Sources - Observations (Berlin)'!$C$5:$C$314,'Sources - Observations (Berlin)'!$A$5:$A$314,$A67,'Sources - Observations (Berlin)'!$B$5:$B$314,$B67,'Sources - Observations (Berlin)'!$D$5:$D$314,"police"),"")</f>
        <v>29000</v>
      </c>
      <c r="F67" s="21">
        <f t="array" ref="F67">COUNTIFS('Sources - Observations (Berlin)'!$A$5:$A$314,$A67,'Sources - Observations (Berlin)'!$B$5:$B$314,$B67)</f>
        <v>3</v>
      </c>
      <c r="G67" s="41">
        <f t="array" ref="G67">IFERROR(AVERAGEIFS('Sources - Observations (Berlin)'!$C$5:$C$314,'Sources - Observations (Berlin)'!$A$5:$A$314,$A67,'Sources - Observations (Berlin)'!$B$5:$B$314,$B67),"")</f>
        <v>31333.33333</v>
      </c>
      <c r="H67" s="106" t="s">
        <v>295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104" t="s">
        <v>64</v>
      </c>
      <c r="B68" s="21">
        <v>2013.0</v>
      </c>
      <c r="C68" s="24">
        <f t="array" ref="C68">IFERROR(AVERAGEIFS('Sources - Observations (Berlin)'!$C$5:$C$314,'Sources - Observations (Berlin)'!$A$5:$A$314,$A68,'Sources - Observations (Berlin)'!$B$5:$B$314,$B68,'Sources - Observations (Berlin)'!$D$5:$D$314,"press"),"")</f>
        <v>40000</v>
      </c>
      <c r="D68" s="109" t="str">
        <f t="array" ref="D68">IFERROR(AVERAGEIFS('Sources - Observations (Berlin)'!$C$5:$C$314,'Sources - Observations (Berlin)'!$A$5:$A$314,$A68,'Sources - Observations (Berlin)'!$B$5:$B$314,$B68,'Sources - Observations (Berlin)'!$D$5:$D$314,"organisers"),"")</f>
        <v/>
      </c>
      <c r="E68" s="109" t="str">
        <f t="array" ref="E68">IFERROR(AVERAGEIFS('Sources - Observations (Berlin)'!$C$5:$C$314,'Sources - Observations (Berlin)'!$A$5:$A$314,$A68,'Sources - Observations (Berlin)'!$B$5:$B$314,$B68,'Sources - Observations (Berlin)'!$D$5:$D$314,"police"),"")</f>
        <v/>
      </c>
      <c r="F68" s="21">
        <f t="array" ref="F68">COUNTIFS('Sources - Observations (Berlin)'!$A$5:$A$314,$A68,'Sources - Observations (Berlin)'!$B$5:$B$314,$B68)</f>
        <v>1</v>
      </c>
      <c r="G68" s="41">
        <f t="array" ref="G68">IFERROR(AVERAGEIFS('Sources - Observations (Berlin)'!$C$5:$C$314,'Sources - Observations (Berlin)'!$A$5:$A$314,$A68,'Sources - Observations (Berlin)'!$B$5:$B$314,$B68),"")</f>
        <v>40000</v>
      </c>
      <c r="H68" s="106" t="s">
        <v>295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104" t="s">
        <v>64</v>
      </c>
      <c r="B69" s="21">
        <v>2014.0</v>
      </c>
      <c r="C69" s="24">
        <f t="array" ref="C69">IFERROR(AVERAGEIFS('Sources - Observations (Berlin)'!$C$5:$C$314,'Sources - Observations (Berlin)'!$A$5:$A$314,$A69,'Sources - Observations (Berlin)'!$B$5:$B$314,$B69,'Sources - Observations (Berlin)'!$D$5:$D$314,"press"),"")</f>
        <v>40000</v>
      </c>
      <c r="D69" s="109" t="str">
        <f t="array" ref="D69">IFERROR(AVERAGEIFS('Sources - Observations (Berlin)'!$C$5:$C$314,'Sources - Observations (Berlin)'!$A$5:$A$314,$A69,'Sources - Observations (Berlin)'!$B$5:$B$314,$B69,'Sources - Observations (Berlin)'!$D$5:$D$314,"organisers"),"")</f>
        <v/>
      </c>
      <c r="E69" s="109" t="str">
        <f t="array" ref="E69">IFERROR(AVERAGEIFS('Sources - Observations (Berlin)'!$C$5:$C$314,'Sources - Observations (Berlin)'!$A$5:$A$314,$A69,'Sources - Observations (Berlin)'!$B$5:$B$314,$B69,'Sources - Observations (Berlin)'!$D$5:$D$314,"police"),"")</f>
        <v/>
      </c>
      <c r="F69" s="21">
        <f t="array" ref="F69">COUNTIFS('Sources - Observations (Berlin)'!$A$5:$A$314,$A69,'Sources - Observations (Berlin)'!$B$5:$B$314,$B69)</f>
        <v>1</v>
      </c>
      <c r="G69" s="41">
        <f t="array" ref="G69">IFERROR(AVERAGEIFS('Sources - Observations (Berlin)'!$C$5:$C$314,'Sources - Observations (Berlin)'!$A$5:$A$314,$A69,'Sources - Observations (Berlin)'!$B$5:$B$314,$B69),"")</f>
        <v>40000</v>
      </c>
      <c r="H69" s="106" t="s">
        <v>295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104" t="s">
        <v>64</v>
      </c>
      <c r="B70" s="21">
        <v>2015.0</v>
      </c>
      <c r="C70" s="109" t="str">
        <f t="array" ref="C70">IFERROR(AVERAGEIFS('Sources - Observations (Berlin)'!$C$5:$C$314,'Sources - Observations (Berlin)'!$A$5:$A$314,$A70,'Sources - Observations (Berlin)'!$B$5:$B$314,$B70,'Sources - Observations (Berlin)'!$D$5:$D$314,"press"),"")</f>
        <v/>
      </c>
      <c r="D70" s="24">
        <f t="array" ref="D70">IFERROR(AVERAGEIFS('Sources - Observations (Berlin)'!$C$5:$C$314,'Sources - Observations (Berlin)'!$A$5:$A$314,$A70,'Sources - Observations (Berlin)'!$B$5:$B$314,$B70,'Sources - Observations (Berlin)'!$D$5:$D$314,"organisers"),"")</f>
        <v>45000</v>
      </c>
      <c r="E70" s="109" t="str">
        <f t="array" ref="E70">IFERROR(AVERAGEIFS('Sources - Observations (Berlin)'!$C$5:$C$314,'Sources - Observations (Berlin)'!$A$5:$A$314,$A70,'Sources - Observations (Berlin)'!$B$5:$B$314,$B70,'Sources - Observations (Berlin)'!$D$5:$D$314,"police"),"")</f>
        <v/>
      </c>
      <c r="F70" s="21">
        <f t="array" ref="F70">COUNTIFS('Sources - Observations (Berlin)'!$A$5:$A$314,$A70,'Sources - Observations (Berlin)'!$B$5:$B$314,$B70)</f>
        <v>1</v>
      </c>
      <c r="G70" s="41">
        <f t="array" ref="G70">IFERROR(AVERAGEIFS('Sources - Observations (Berlin)'!$C$5:$C$314,'Sources - Observations (Berlin)'!$A$5:$A$314,$A70,'Sources - Observations (Berlin)'!$B$5:$B$314,$B70),"")</f>
        <v>45000</v>
      </c>
      <c r="H70" s="106" t="s">
        <v>295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104" t="s">
        <v>64</v>
      </c>
      <c r="B71" s="21">
        <v>2016.0</v>
      </c>
      <c r="C71" s="24">
        <f t="array" ref="C71">IFERROR(AVERAGEIFS('Sources - Observations (Berlin)'!$C$5:$C$314,'Sources - Observations (Berlin)'!$A$5:$A$314,$A71,'Sources - Observations (Berlin)'!$B$5:$B$314,$B71,'Sources - Observations (Berlin)'!$D$5:$D$314,"press"),"")</f>
        <v>30000</v>
      </c>
      <c r="D71" s="109" t="str">
        <f t="array" ref="D71">IFERROR(AVERAGEIFS('Sources - Observations (Berlin)'!$C$5:$C$314,'Sources - Observations (Berlin)'!$A$5:$A$314,$A71,'Sources - Observations (Berlin)'!$B$5:$B$314,$B71,'Sources - Observations (Berlin)'!$D$5:$D$314,"organisers"),"")</f>
        <v/>
      </c>
      <c r="E71" s="109" t="str">
        <f t="array" ref="E71">IFERROR(AVERAGEIFS('Sources - Observations (Berlin)'!$C$5:$C$314,'Sources - Observations (Berlin)'!$A$5:$A$314,$A71,'Sources - Observations (Berlin)'!$B$5:$B$314,$B71,'Sources - Observations (Berlin)'!$D$5:$D$314,"police"),"")</f>
        <v/>
      </c>
      <c r="F71" s="21">
        <f t="array" ref="F71">COUNTIFS('Sources - Observations (Berlin)'!$A$5:$A$314,$A71,'Sources - Observations (Berlin)'!$B$5:$B$314,$B71)</f>
        <v>1</v>
      </c>
      <c r="G71" s="41">
        <f t="array" ref="G71">IFERROR(AVERAGEIFS('Sources - Observations (Berlin)'!$C$5:$C$314,'Sources - Observations (Berlin)'!$A$5:$A$314,$A71,'Sources - Observations (Berlin)'!$B$5:$B$314,$B71),"")</f>
        <v>30000</v>
      </c>
      <c r="H71" s="106" t="s">
        <v>295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104" t="s">
        <v>64</v>
      </c>
      <c r="B72" s="21">
        <v>2017.0</v>
      </c>
      <c r="C72" s="24">
        <f t="array" ref="C72">IFERROR(AVERAGEIFS('Sources - Observations (Berlin)'!$C$5:$C$314,'Sources - Observations (Berlin)'!$A$5:$A$314,$A72,'Sources - Observations (Berlin)'!$B$5:$B$314,$B72,'Sources - Observations (Berlin)'!$D$5:$D$314,"press"),"")</f>
        <v>45000</v>
      </c>
      <c r="D72" s="109" t="str">
        <f t="array" ref="D72">IFERROR(AVERAGEIFS('Sources - Observations (Berlin)'!$C$5:$C$314,'Sources - Observations (Berlin)'!$A$5:$A$314,$A72,'Sources - Observations (Berlin)'!$B$5:$B$314,$B72,'Sources - Observations (Berlin)'!$D$5:$D$314,"organisers"),"")</f>
        <v/>
      </c>
      <c r="E72" s="109" t="str">
        <f t="array" ref="E72">IFERROR(AVERAGEIFS('Sources - Observations (Berlin)'!$C$5:$C$314,'Sources - Observations (Berlin)'!$A$5:$A$314,$A72,'Sources - Observations (Berlin)'!$B$5:$B$314,$B72,'Sources - Observations (Berlin)'!$D$5:$D$314,"police"),"")</f>
        <v/>
      </c>
      <c r="F72" s="21">
        <f t="array" ref="F72">COUNTIFS('Sources - Observations (Berlin)'!$A$5:$A$314,$A72,'Sources - Observations (Berlin)'!$B$5:$B$314,$B72)</f>
        <v>1</v>
      </c>
      <c r="G72" s="41">
        <f t="array" ref="G72">IFERROR(AVERAGEIFS('Sources - Observations (Berlin)'!$C$5:$C$314,'Sources - Observations (Berlin)'!$A$5:$A$314,$A72,'Sources - Observations (Berlin)'!$B$5:$B$314,$B72),"")</f>
        <v>45000</v>
      </c>
      <c r="H72" s="106" t="s">
        <v>295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104" t="s">
        <v>64</v>
      </c>
      <c r="B73" s="21">
        <v>2018.0</v>
      </c>
      <c r="C73" s="24">
        <f t="array" ref="C73">IFERROR(AVERAGEIFS('Sources - Observations (Berlin)'!$C$5:$C$314,'Sources - Observations (Berlin)'!$A$5:$A$314,$A73,'Sources - Observations (Berlin)'!$B$5:$B$314,$B73,'Sources - Observations (Berlin)'!$D$5:$D$314,"press"),"")</f>
        <v>52000</v>
      </c>
      <c r="D73" s="109" t="str">
        <f t="array" ref="D73">IFERROR(AVERAGEIFS('Sources - Observations (Berlin)'!$C$5:$C$314,'Sources - Observations (Berlin)'!$A$5:$A$314,$A73,'Sources - Observations (Berlin)'!$B$5:$B$314,$B73,'Sources - Observations (Berlin)'!$D$5:$D$314,"organisers"),"")</f>
        <v/>
      </c>
      <c r="E73" s="109" t="str">
        <f t="array" ref="E73">IFERROR(AVERAGEIFS('Sources - Observations (Berlin)'!$C$5:$C$314,'Sources - Observations (Berlin)'!$A$5:$A$314,$A73,'Sources - Observations (Berlin)'!$B$5:$B$314,$B73,'Sources - Observations (Berlin)'!$D$5:$D$314,"police"),"")</f>
        <v/>
      </c>
      <c r="F73" s="21">
        <f t="array" ref="F73">COUNTIFS('Sources - Observations (Berlin)'!$A$5:$A$314,$A73,'Sources - Observations (Berlin)'!$B$5:$B$314,$B73)</f>
        <v>1</v>
      </c>
      <c r="G73" s="41">
        <f t="array" ref="G73">IFERROR(AVERAGEIFS('Sources - Observations (Berlin)'!$C$5:$C$314,'Sources - Observations (Berlin)'!$A$5:$A$314,$A73,'Sources - Observations (Berlin)'!$B$5:$B$314,$B73),"")</f>
        <v>52000</v>
      </c>
      <c r="H73" s="106" t="s">
        <v>295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104" t="s">
        <v>64</v>
      </c>
      <c r="B74" s="21">
        <v>2019.0</v>
      </c>
      <c r="C74" s="24">
        <f t="array" ref="C74">IFERROR(AVERAGEIFS('Sources - Observations (Berlin)'!$C$5:$C$314,'Sources - Observations (Berlin)'!$A$5:$A$314,$A74,'Sources - Observations (Berlin)'!$B$5:$B$314,$B74,'Sources - Observations (Berlin)'!$D$5:$D$314,"press"),"")</f>
        <v>45000</v>
      </c>
      <c r="D74" s="109" t="str">
        <f t="array" ref="D74">IFERROR(AVERAGEIFS('Sources - Observations (Berlin)'!$C$5:$C$314,'Sources - Observations (Berlin)'!$A$5:$A$314,$A74,'Sources - Observations (Berlin)'!$B$5:$B$314,$B74,'Sources - Observations (Berlin)'!$D$5:$D$314,"organisers"),"")</f>
        <v/>
      </c>
      <c r="E74" s="109" t="str">
        <f t="array" ref="E74">IFERROR(AVERAGEIFS('Sources - Observations (Berlin)'!$C$5:$C$314,'Sources - Observations (Berlin)'!$A$5:$A$314,$A74,'Sources - Observations (Berlin)'!$B$5:$B$314,$B74,'Sources - Observations (Berlin)'!$D$5:$D$314,"police"),"")</f>
        <v/>
      </c>
      <c r="F74" s="21">
        <f t="array" ref="F74">COUNTIFS('Sources - Observations (Berlin)'!$A$5:$A$314,$A74,'Sources - Observations (Berlin)'!$B$5:$B$314,$B74)</f>
        <v>1</v>
      </c>
      <c r="G74" s="41">
        <f t="array" ref="G74">IFERROR(AVERAGEIFS('Sources - Observations (Berlin)'!$C$5:$C$314,'Sources - Observations (Berlin)'!$A$5:$A$314,$A74,'Sources - Observations (Berlin)'!$B$5:$B$314,$B74),"")</f>
        <v>45000</v>
      </c>
      <c r="H74" s="106" t="s">
        <v>295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104" t="s">
        <v>66</v>
      </c>
      <c r="B75" s="21">
        <v>2018.0</v>
      </c>
      <c r="C75" s="24">
        <f t="array" ref="C75">IFERROR(AVERAGEIFS('Sources - Observations (Berlin)'!$C$5:$C$314,'Sources - Observations (Berlin)'!$A$5:$A$314,$A75,'Sources - Observations (Berlin)'!$B$5:$B$314,$B75,'Sources - Observations (Berlin)'!$D$5:$D$314,"press"),"")</f>
        <v>1500</v>
      </c>
      <c r="D75" s="24">
        <f t="array" ref="D75">IFERROR(AVERAGEIFS('Sources - Observations (Berlin)'!$C$5:$C$314,'Sources - Observations (Berlin)'!$A$5:$A$314,$A75,'Sources - Observations (Berlin)'!$B$5:$B$314,$B75,'Sources - Observations (Berlin)'!$D$5:$D$314,"organisers"),"")</f>
        <v>5000</v>
      </c>
      <c r="E75" s="109" t="str">
        <f t="array" ref="E75">IFERROR(AVERAGEIFS('Sources - Observations (Berlin)'!$C$5:$C$314,'Sources - Observations (Berlin)'!$A$5:$A$314,$A75,'Sources - Observations (Berlin)'!$B$5:$B$314,$B75,'Sources - Observations (Berlin)'!$D$5:$D$314,"police"),"")</f>
        <v/>
      </c>
      <c r="F75" s="21">
        <f t="array" ref="F75">COUNTIFS('Sources - Observations (Berlin)'!$A$5:$A$314,$A75,'Sources - Observations (Berlin)'!$B$5:$B$314,$B75)</f>
        <v>2</v>
      </c>
      <c r="G75" s="41">
        <f t="array" ref="G75">IFERROR(AVERAGEIFS('Sources - Observations (Berlin)'!$C$5:$C$314,'Sources - Observations (Berlin)'!$A$5:$A$314,$A75,'Sources - Observations (Berlin)'!$B$5:$B$314,$B75),"")</f>
        <v>3250</v>
      </c>
      <c r="H75" s="106" t="s">
        <v>295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104" t="s">
        <v>66</v>
      </c>
      <c r="B76" s="21">
        <v>2019.0</v>
      </c>
      <c r="C76" s="24">
        <f t="array" ref="C76">IFERROR(AVERAGEIFS('Sources - Observations (Berlin)'!$C$5:$C$314,'Sources - Observations (Berlin)'!$A$5:$A$314,$A76,'Sources - Observations (Berlin)'!$B$5:$B$314,$B76,'Sources - Observations (Berlin)'!$D$5:$D$314,"press"),"")</f>
        <v>3333.333333</v>
      </c>
      <c r="D76" s="24">
        <f t="array" ref="D76">IFERROR(AVERAGEIFS('Sources - Observations (Berlin)'!$C$5:$C$314,'Sources - Observations (Berlin)'!$A$5:$A$314,$A76,'Sources - Observations (Berlin)'!$B$5:$B$314,$B76,'Sources - Observations (Berlin)'!$D$5:$D$314,"organisers"),"")</f>
        <v>7500</v>
      </c>
      <c r="E76" s="109" t="str">
        <f t="array" ref="E76">IFERROR(AVERAGEIFS('Sources - Observations (Berlin)'!$C$5:$C$314,'Sources - Observations (Berlin)'!$A$5:$A$314,$A76,'Sources - Observations (Berlin)'!$B$5:$B$314,$B76,'Sources - Observations (Berlin)'!$D$5:$D$314,"police"),"")</f>
        <v/>
      </c>
      <c r="F76" s="21">
        <f t="array" ref="F76">COUNTIFS('Sources - Observations (Berlin)'!$A$5:$A$314,$A76,'Sources - Observations (Berlin)'!$B$5:$B$314,$B76)</f>
        <v>4</v>
      </c>
      <c r="G76" s="41">
        <f t="array" ref="G76">IFERROR(AVERAGEIFS('Sources - Observations (Berlin)'!$C$5:$C$314,'Sources - Observations (Berlin)'!$A$5:$A$314,$A76,'Sources - Observations (Berlin)'!$B$5:$B$314,$B76),"")</f>
        <v>4375</v>
      </c>
      <c r="H76" s="106" t="s">
        <v>295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104" t="s">
        <v>63</v>
      </c>
      <c r="B77" s="21">
        <v>1992.0</v>
      </c>
      <c r="C77" s="24">
        <f t="array" ref="C77">IFERROR(AVERAGEIFS('Sources - Observations (Berlin)'!$C$5:$C$314,'Sources - Observations (Berlin)'!$A$5:$A$314,$A77,'Sources - Observations (Berlin)'!$B$5:$B$314,$B77,'Sources - Observations (Berlin)'!$D$5:$D$314,"press"),"")</f>
        <v>50</v>
      </c>
      <c r="D77" s="109" t="str">
        <f t="array" ref="D77">IFERROR(AVERAGEIFS('Sources - Observations (Berlin)'!$C$5:$C$314,'Sources - Observations (Berlin)'!$A$5:$A$314,$A77,'Sources - Observations (Berlin)'!$B$5:$B$314,$B77,'Sources - Observations (Berlin)'!$D$5:$D$314,"organisers"),"")</f>
        <v/>
      </c>
      <c r="E77" s="109" t="str">
        <f t="array" ref="E77">IFERROR(AVERAGEIFS('Sources - Observations (Berlin)'!$C$5:$C$314,'Sources - Observations (Berlin)'!$A$5:$A$314,$A77,'Sources - Observations (Berlin)'!$B$5:$B$314,$B77,'Sources - Observations (Berlin)'!$D$5:$D$314,"police"),"")</f>
        <v/>
      </c>
      <c r="F77" s="21">
        <f t="array" ref="F77">COUNTIFS('Sources - Observations (Berlin)'!$A$5:$A$314,$A77,'Sources - Observations (Berlin)'!$B$5:$B$314,$B77)</f>
        <v>1</v>
      </c>
      <c r="G77" s="41">
        <f t="array" ref="G77">IFERROR(AVERAGEIFS('Sources - Observations (Berlin)'!$C$5:$C$314,'Sources - Observations (Berlin)'!$A$5:$A$314,$A77,'Sources - Observations (Berlin)'!$B$5:$B$314,$B77),"")</f>
        <v>50</v>
      </c>
      <c r="H77" s="106" t="s">
        <v>295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104" t="s">
        <v>63</v>
      </c>
      <c r="B78" s="21">
        <v>1993.0</v>
      </c>
      <c r="C78" s="24">
        <f t="array" ref="C78">IFERROR(AVERAGEIFS('Sources - Observations (Berlin)'!$C$5:$C$314,'Sources - Observations (Berlin)'!$A$5:$A$314,$A78,'Sources - Observations (Berlin)'!$B$5:$B$314,$B78,'Sources - Observations (Berlin)'!$D$5:$D$314,"press"),"")</f>
        <v>100</v>
      </c>
      <c r="D78" s="109" t="str">
        <f t="array" ref="D78">IFERROR(AVERAGEIFS('Sources - Observations (Berlin)'!$C$5:$C$314,'Sources - Observations (Berlin)'!$A$5:$A$314,$A78,'Sources - Observations (Berlin)'!$B$5:$B$314,$B78,'Sources - Observations (Berlin)'!$D$5:$D$314,"organisers"),"")</f>
        <v/>
      </c>
      <c r="E78" s="109" t="str">
        <f t="array" ref="E78">IFERROR(AVERAGEIFS('Sources - Observations (Berlin)'!$C$5:$C$314,'Sources - Observations (Berlin)'!$A$5:$A$314,$A78,'Sources - Observations (Berlin)'!$B$5:$B$314,$B78,'Sources - Observations (Berlin)'!$D$5:$D$314,"police"),"")</f>
        <v/>
      </c>
      <c r="F78" s="21">
        <f t="array" ref="F78">COUNTIFS('Sources - Observations (Berlin)'!$A$5:$A$314,$A78,'Sources - Observations (Berlin)'!$B$5:$B$314,$B78)</f>
        <v>1</v>
      </c>
      <c r="G78" s="41">
        <f t="array" ref="G78">IFERROR(AVERAGEIFS('Sources - Observations (Berlin)'!$C$5:$C$314,'Sources - Observations (Berlin)'!$A$5:$A$314,$A78,'Sources - Observations (Berlin)'!$B$5:$B$314,$B78),"")</f>
        <v>100</v>
      </c>
      <c r="H78" s="106" t="s">
        <v>295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104" t="s">
        <v>63</v>
      </c>
      <c r="B79" s="21">
        <v>1994.0</v>
      </c>
      <c r="C79" s="24">
        <f t="array" ref="C79">IFERROR(AVERAGEIFS('Sources - Observations (Berlin)'!$C$5:$C$314,'Sources - Observations (Berlin)'!$A$5:$A$314,$A79,'Sources - Observations (Berlin)'!$B$5:$B$314,$B79,'Sources - Observations (Berlin)'!$D$5:$D$314,"press"),"")</f>
        <v>5</v>
      </c>
      <c r="D79" s="109" t="str">
        <f t="array" ref="D79">IFERROR(AVERAGEIFS('Sources - Observations (Berlin)'!$C$5:$C$314,'Sources - Observations (Berlin)'!$A$5:$A$314,$A79,'Sources - Observations (Berlin)'!$B$5:$B$314,$B79,'Sources - Observations (Berlin)'!$D$5:$D$314,"organisers"),"")</f>
        <v/>
      </c>
      <c r="E79" s="109" t="str">
        <f t="array" ref="E79">IFERROR(AVERAGEIFS('Sources - Observations (Berlin)'!$C$5:$C$314,'Sources - Observations (Berlin)'!$A$5:$A$314,$A79,'Sources - Observations (Berlin)'!$B$5:$B$314,$B79,'Sources - Observations (Berlin)'!$D$5:$D$314,"police"),"")</f>
        <v/>
      </c>
      <c r="F79" s="21">
        <f t="array" ref="F79">COUNTIFS('Sources - Observations (Berlin)'!$A$5:$A$314,$A79,'Sources - Observations (Berlin)'!$B$5:$B$314,$B79)</f>
        <v>1</v>
      </c>
      <c r="G79" s="41">
        <f t="array" ref="G79">IFERROR(AVERAGEIFS('Sources - Observations (Berlin)'!$C$5:$C$314,'Sources - Observations (Berlin)'!$A$5:$A$314,$A79,'Sources - Observations (Berlin)'!$B$5:$B$314,$B79),"")</f>
        <v>5</v>
      </c>
      <c r="H79" s="106" t="s">
        <v>295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104" t="s">
        <v>63</v>
      </c>
      <c r="B80" s="21">
        <v>1996.0</v>
      </c>
      <c r="C80" s="24">
        <f t="array" ref="C80">IFERROR(AVERAGEIFS('Sources - Observations (Berlin)'!$C$5:$C$314,'Sources - Observations (Berlin)'!$A$5:$A$314,$A80,'Sources - Observations (Berlin)'!$B$5:$B$314,$B80,'Sources - Observations (Berlin)'!$D$5:$D$314,"press"),"")</f>
        <v>350</v>
      </c>
      <c r="D80" s="109" t="str">
        <f t="array" ref="D80">IFERROR(AVERAGEIFS('Sources - Observations (Berlin)'!$C$5:$C$314,'Sources - Observations (Berlin)'!$A$5:$A$314,$A80,'Sources - Observations (Berlin)'!$B$5:$B$314,$B80,'Sources - Observations (Berlin)'!$D$5:$D$314,"organisers"),"")</f>
        <v/>
      </c>
      <c r="E80" s="109" t="str">
        <f t="array" ref="E80">IFERROR(AVERAGEIFS('Sources - Observations (Berlin)'!$C$5:$C$314,'Sources - Observations (Berlin)'!$A$5:$A$314,$A80,'Sources - Observations (Berlin)'!$B$5:$B$314,$B80,'Sources - Observations (Berlin)'!$D$5:$D$314,"police"),"")</f>
        <v/>
      </c>
      <c r="F80" s="21">
        <f t="array" ref="F80">COUNTIFS('Sources - Observations (Berlin)'!$A$5:$A$314,$A80,'Sources - Observations (Berlin)'!$B$5:$B$314,$B80)</f>
        <v>2</v>
      </c>
      <c r="G80" s="41">
        <f t="array" ref="G80">IFERROR(AVERAGEIFS('Sources - Observations (Berlin)'!$C$5:$C$314,'Sources - Observations (Berlin)'!$A$5:$A$314,$A80,'Sources - Observations (Berlin)'!$B$5:$B$314,$B80),"")</f>
        <v>350</v>
      </c>
      <c r="H80" s="106" t="s">
        <v>295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104" t="s">
        <v>63</v>
      </c>
      <c r="B81" s="21">
        <v>2000.0</v>
      </c>
      <c r="C81" s="24">
        <f t="array" ref="C81">IFERROR(AVERAGEIFS('Sources - Observations (Berlin)'!$C$5:$C$314,'Sources - Observations (Berlin)'!$A$5:$A$314,$A81,'Sources - Observations (Berlin)'!$B$5:$B$314,$B81,'Sources - Observations (Berlin)'!$D$5:$D$314,"press"),"")</f>
        <v>1000</v>
      </c>
      <c r="D81" s="109" t="str">
        <f t="array" ref="D81">IFERROR(AVERAGEIFS('Sources - Observations (Berlin)'!$C$5:$C$314,'Sources - Observations (Berlin)'!$A$5:$A$314,$A81,'Sources - Observations (Berlin)'!$B$5:$B$314,$B81,'Sources - Observations (Berlin)'!$D$5:$D$314,"organisers"),"")</f>
        <v/>
      </c>
      <c r="E81" s="109" t="str">
        <f t="array" ref="E81">IFERROR(AVERAGEIFS('Sources - Observations (Berlin)'!$C$5:$C$314,'Sources - Observations (Berlin)'!$A$5:$A$314,$A81,'Sources - Observations (Berlin)'!$B$5:$B$314,$B81,'Sources - Observations (Berlin)'!$D$5:$D$314,"police"),"")</f>
        <v/>
      </c>
      <c r="F81" s="21">
        <f t="array" ref="F81">COUNTIFS('Sources - Observations (Berlin)'!$A$5:$A$314,$A81,'Sources - Observations (Berlin)'!$B$5:$B$314,$B81)</f>
        <v>1</v>
      </c>
      <c r="G81" s="41">
        <f t="array" ref="G81">IFERROR(AVERAGEIFS('Sources - Observations (Berlin)'!$C$5:$C$314,'Sources - Observations (Berlin)'!$A$5:$A$314,$A81,'Sources - Observations (Berlin)'!$B$5:$B$314,$B81),"")</f>
        <v>1000</v>
      </c>
      <c r="H81" s="106" t="s">
        <v>295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104" t="s">
        <v>63</v>
      </c>
      <c r="B82" s="21">
        <v>2001.0</v>
      </c>
      <c r="C82" s="24">
        <f t="array" ref="C82">IFERROR(AVERAGEIFS('Sources - Observations (Berlin)'!$C$5:$C$314,'Sources - Observations (Berlin)'!$A$5:$A$314,$A82,'Sources - Observations (Berlin)'!$B$5:$B$314,$B82,'Sources - Observations (Berlin)'!$D$5:$D$314,"press"),"")</f>
        <v>100</v>
      </c>
      <c r="D82" s="109" t="str">
        <f t="array" ref="D82">IFERROR(AVERAGEIFS('Sources - Observations (Berlin)'!$C$5:$C$314,'Sources - Observations (Berlin)'!$A$5:$A$314,$A82,'Sources - Observations (Berlin)'!$B$5:$B$314,$B82,'Sources - Observations (Berlin)'!$D$5:$D$314,"organisers"),"")</f>
        <v/>
      </c>
      <c r="E82" s="109" t="str">
        <f t="array" ref="E82">IFERROR(AVERAGEIFS('Sources - Observations (Berlin)'!$C$5:$C$314,'Sources - Observations (Berlin)'!$A$5:$A$314,$A82,'Sources - Observations (Berlin)'!$B$5:$B$314,$B82,'Sources - Observations (Berlin)'!$D$5:$D$314,"police"),"")</f>
        <v/>
      </c>
      <c r="F82" s="21">
        <f t="array" ref="F82">COUNTIFS('Sources - Observations (Berlin)'!$A$5:$A$314,$A82,'Sources - Observations (Berlin)'!$B$5:$B$314,$B82)</f>
        <v>1</v>
      </c>
      <c r="G82" s="41">
        <f t="array" ref="G82">IFERROR(AVERAGEIFS('Sources - Observations (Berlin)'!$C$5:$C$314,'Sources - Observations (Berlin)'!$A$5:$A$314,$A82,'Sources - Observations (Berlin)'!$B$5:$B$314,$B82),"")</f>
        <v>100</v>
      </c>
      <c r="H82" s="106" t="s">
        <v>295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104" t="s">
        <v>63</v>
      </c>
      <c r="B83" s="21">
        <v>2002.0</v>
      </c>
      <c r="C83" s="24">
        <f t="array" ref="C83">IFERROR(AVERAGEIFS('Sources - Observations (Berlin)'!$C$5:$C$314,'Sources - Observations (Berlin)'!$A$5:$A$314,$A83,'Sources - Observations (Berlin)'!$B$5:$B$314,$B83,'Sources - Observations (Berlin)'!$D$5:$D$314,"press"),"")</f>
        <v>700</v>
      </c>
      <c r="D83" s="109" t="str">
        <f t="array" ref="D83">IFERROR(AVERAGEIFS('Sources - Observations (Berlin)'!$C$5:$C$314,'Sources - Observations (Berlin)'!$A$5:$A$314,$A83,'Sources - Observations (Berlin)'!$B$5:$B$314,$B83,'Sources - Observations (Berlin)'!$D$5:$D$314,"organisers"),"")</f>
        <v/>
      </c>
      <c r="E83" s="109" t="str">
        <f t="array" ref="E83">IFERROR(AVERAGEIFS('Sources - Observations (Berlin)'!$C$5:$C$314,'Sources - Observations (Berlin)'!$A$5:$A$314,$A83,'Sources - Observations (Berlin)'!$B$5:$B$314,$B83,'Sources - Observations (Berlin)'!$D$5:$D$314,"police"),"")</f>
        <v/>
      </c>
      <c r="F83" s="21">
        <f t="array" ref="F83">COUNTIFS('Sources - Observations (Berlin)'!$A$5:$A$314,$A83,'Sources - Observations (Berlin)'!$B$5:$B$314,$B83)</f>
        <v>1</v>
      </c>
      <c r="G83" s="41">
        <f t="array" ref="G83">IFERROR(AVERAGEIFS('Sources - Observations (Berlin)'!$C$5:$C$314,'Sources - Observations (Berlin)'!$A$5:$A$314,$A83,'Sources - Observations (Berlin)'!$B$5:$B$314,$B83),"")</f>
        <v>700</v>
      </c>
      <c r="H83" s="106" t="s">
        <v>295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104" t="s">
        <v>63</v>
      </c>
      <c r="B84" s="21">
        <v>2003.0</v>
      </c>
      <c r="C84" s="24">
        <f t="array" ref="C84">IFERROR(AVERAGEIFS('Sources - Observations (Berlin)'!$C$5:$C$314,'Sources - Observations (Berlin)'!$A$5:$A$314,$A84,'Sources - Observations (Berlin)'!$B$5:$B$314,$B84,'Sources - Observations (Berlin)'!$D$5:$D$314,"press"),"")</f>
        <v>2000</v>
      </c>
      <c r="D84" s="109" t="str">
        <f t="array" ref="D84">IFERROR(AVERAGEIFS('Sources - Observations (Berlin)'!$C$5:$C$314,'Sources - Observations (Berlin)'!$A$5:$A$314,$A84,'Sources - Observations (Berlin)'!$B$5:$B$314,$B84,'Sources - Observations (Berlin)'!$D$5:$D$314,"organisers"),"")</f>
        <v/>
      </c>
      <c r="E84" s="24">
        <f t="array" ref="E84">IFERROR(AVERAGEIFS('Sources - Observations (Berlin)'!$C$5:$C$314,'Sources - Observations (Berlin)'!$A$5:$A$314,$A84,'Sources - Observations (Berlin)'!$B$5:$B$314,$B84,'Sources - Observations (Berlin)'!$D$5:$D$314,"police"),"")</f>
        <v>1350</v>
      </c>
      <c r="F84" s="21">
        <f t="array" ref="F84">COUNTIFS('Sources - Observations (Berlin)'!$A$5:$A$314,$A84,'Sources - Observations (Berlin)'!$B$5:$B$314,$B84)</f>
        <v>2</v>
      </c>
      <c r="G84" s="41">
        <f t="array" ref="G84">IFERROR(AVERAGEIFS('Sources - Observations (Berlin)'!$C$5:$C$314,'Sources - Observations (Berlin)'!$A$5:$A$314,$A84,'Sources - Observations (Berlin)'!$B$5:$B$314,$B84),"")</f>
        <v>1675</v>
      </c>
      <c r="H84" s="106" t="s">
        <v>295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104" t="s">
        <v>63</v>
      </c>
      <c r="B85" s="21">
        <v>2004.0</v>
      </c>
      <c r="C85" s="24">
        <f t="array" ref="C85">IFERROR(AVERAGEIFS('Sources - Observations (Berlin)'!$C$5:$C$314,'Sources - Observations (Berlin)'!$A$5:$A$314,$A85,'Sources - Observations (Berlin)'!$B$5:$B$314,$B85,'Sources - Observations (Berlin)'!$D$5:$D$314,"press"),"")</f>
        <v>2300</v>
      </c>
      <c r="D85" s="109" t="str">
        <f t="array" ref="D85">IFERROR(AVERAGEIFS('Sources - Observations (Berlin)'!$C$5:$C$314,'Sources - Observations (Berlin)'!$A$5:$A$314,$A85,'Sources - Observations (Berlin)'!$B$5:$B$314,$B85,'Sources - Observations (Berlin)'!$D$5:$D$314,"organisers"),"")</f>
        <v/>
      </c>
      <c r="E85" s="109" t="str">
        <f t="array" ref="E85">IFERROR(AVERAGEIFS('Sources - Observations (Berlin)'!$C$5:$C$314,'Sources - Observations (Berlin)'!$A$5:$A$314,$A85,'Sources - Observations (Berlin)'!$B$5:$B$314,$B85,'Sources - Observations (Berlin)'!$D$5:$D$314,"police"),"")</f>
        <v/>
      </c>
      <c r="F85" s="21">
        <f t="array" ref="F85">COUNTIFS('Sources - Observations (Berlin)'!$A$5:$A$314,$A85,'Sources - Observations (Berlin)'!$B$5:$B$314,$B85)</f>
        <v>1</v>
      </c>
      <c r="G85" s="41">
        <f t="array" ref="G85">IFERROR(AVERAGEIFS('Sources - Observations (Berlin)'!$C$5:$C$314,'Sources - Observations (Berlin)'!$A$5:$A$314,$A85,'Sources - Observations (Berlin)'!$B$5:$B$314,$B85),"")</f>
        <v>2300</v>
      </c>
      <c r="H85" s="106" t="s">
        <v>295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104" t="s">
        <v>63</v>
      </c>
      <c r="B86" s="21">
        <v>2009.0</v>
      </c>
      <c r="C86" s="24">
        <f t="array" ref="C86">IFERROR(AVERAGEIFS('Sources - Observations (Berlin)'!$C$5:$C$314,'Sources - Observations (Berlin)'!$A$5:$A$314,$A86,'Sources - Observations (Berlin)'!$B$5:$B$314,$B86,'Sources - Observations (Berlin)'!$D$5:$D$314,"press"),"")</f>
        <v>200</v>
      </c>
      <c r="D86" s="109" t="str">
        <f t="array" ref="D86">IFERROR(AVERAGEIFS('Sources - Observations (Berlin)'!$C$5:$C$314,'Sources - Observations (Berlin)'!$A$5:$A$314,$A86,'Sources - Observations (Berlin)'!$B$5:$B$314,$B86,'Sources - Observations (Berlin)'!$D$5:$D$314,"organisers"),"")</f>
        <v/>
      </c>
      <c r="E86" s="109" t="str">
        <f t="array" ref="E86">IFERROR(AVERAGEIFS('Sources - Observations (Berlin)'!$C$5:$C$314,'Sources - Observations (Berlin)'!$A$5:$A$314,$A86,'Sources - Observations (Berlin)'!$B$5:$B$314,$B86,'Sources - Observations (Berlin)'!$D$5:$D$314,"police"),"")</f>
        <v/>
      </c>
      <c r="F86" s="21">
        <f t="array" ref="F86">COUNTIFS('Sources - Observations (Berlin)'!$A$5:$A$314,$A86,'Sources - Observations (Berlin)'!$B$5:$B$314,$B86)</f>
        <v>1</v>
      </c>
      <c r="G86" s="41">
        <f t="array" ref="G86">IFERROR(AVERAGEIFS('Sources - Observations (Berlin)'!$C$5:$C$314,'Sources - Observations (Berlin)'!$A$5:$A$314,$A86,'Sources - Observations (Berlin)'!$B$5:$B$314,$B86),"")</f>
        <v>200</v>
      </c>
      <c r="H86" s="106" t="s">
        <v>295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104" t="s">
        <v>63</v>
      </c>
      <c r="B87" s="21">
        <v>2010.0</v>
      </c>
      <c r="C87" s="24">
        <f t="array" ref="C87">IFERROR(AVERAGEIFS('Sources - Observations (Berlin)'!$C$5:$C$314,'Sources - Observations (Berlin)'!$A$5:$A$314,$A87,'Sources - Observations (Berlin)'!$B$5:$B$314,$B87,'Sources - Observations (Berlin)'!$D$5:$D$314,"press"),"")</f>
        <v>700</v>
      </c>
      <c r="D87" s="109" t="str">
        <f t="array" ref="D87">IFERROR(AVERAGEIFS('Sources - Observations (Berlin)'!$C$5:$C$314,'Sources - Observations (Berlin)'!$A$5:$A$314,$A87,'Sources - Observations (Berlin)'!$B$5:$B$314,$B87,'Sources - Observations (Berlin)'!$D$5:$D$314,"organisers"),"")</f>
        <v/>
      </c>
      <c r="E87" s="109" t="str">
        <f t="array" ref="E87">IFERROR(AVERAGEIFS('Sources - Observations (Berlin)'!$C$5:$C$314,'Sources - Observations (Berlin)'!$A$5:$A$314,$A87,'Sources - Observations (Berlin)'!$B$5:$B$314,$B87,'Sources - Observations (Berlin)'!$D$5:$D$314,"police"),"")</f>
        <v/>
      </c>
      <c r="F87" s="21">
        <f t="array" ref="F87">COUNTIFS('Sources - Observations (Berlin)'!$A$5:$A$314,$A87,'Sources - Observations (Berlin)'!$B$5:$B$314,$B87)</f>
        <v>1</v>
      </c>
      <c r="G87" s="41">
        <f t="array" ref="G87">IFERROR(AVERAGEIFS('Sources - Observations (Berlin)'!$C$5:$C$314,'Sources - Observations (Berlin)'!$A$5:$A$314,$A87,'Sources - Observations (Berlin)'!$B$5:$B$314,$B87),"")</f>
        <v>700</v>
      </c>
      <c r="H87" s="106" t="s">
        <v>295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104" t="s">
        <v>63</v>
      </c>
      <c r="B88" s="21">
        <v>2013.0</v>
      </c>
      <c r="C88" s="24">
        <f t="array" ref="C88">IFERROR(AVERAGEIFS('Sources - Observations (Berlin)'!$C$5:$C$314,'Sources - Observations (Berlin)'!$A$5:$A$314,$A88,'Sources - Observations (Berlin)'!$B$5:$B$314,$B88,'Sources - Observations (Berlin)'!$D$5:$D$314,"press"),"")</f>
        <v>300</v>
      </c>
      <c r="D88" s="109" t="str">
        <f t="array" ref="D88">IFERROR(AVERAGEIFS('Sources - Observations (Berlin)'!$C$5:$C$314,'Sources - Observations (Berlin)'!$A$5:$A$314,$A88,'Sources - Observations (Berlin)'!$B$5:$B$314,$B88,'Sources - Observations (Berlin)'!$D$5:$D$314,"organisers"),"")</f>
        <v/>
      </c>
      <c r="E88" s="109" t="str">
        <f t="array" ref="E88">IFERROR(AVERAGEIFS('Sources - Observations (Berlin)'!$C$5:$C$314,'Sources - Observations (Berlin)'!$A$5:$A$314,$A88,'Sources - Observations (Berlin)'!$B$5:$B$314,$B88,'Sources - Observations (Berlin)'!$D$5:$D$314,"police"),"")</f>
        <v/>
      </c>
      <c r="F88" s="21">
        <f t="array" ref="F88">COUNTIFS('Sources - Observations (Berlin)'!$A$5:$A$314,$A88,'Sources - Observations (Berlin)'!$B$5:$B$314,$B88)</f>
        <v>1</v>
      </c>
      <c r="G88" s="41">
        <f t="array" ref="G88">IFERROR(AVERAGEIFS('Sources - Observations (Berlin)'!$C$5:$C$314,'Sources - Observations (Berlin)'!$A$5:$A$314,$A88,'Sources - Observations (Berlin)'!$B$5:$B$314,$B88),"")</f>
        <v>300</v>
      </c>
      <c r="H88" s="106" t="s">
        <v>295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104" t="s">
        <v>63</v>
      </c>
      <c r="B89" s="21">
        <v>2015.0</v>
      </c>
      <c r="C89" s="24">
        <f t="array" ref="C89">IFERROR(AVERAGEIFS('Sources - Observations (Berlin)'!$C$5:$C$314,'Sources - Observations (Berlin)'!$A$5:$A$314,$A89,'Sources - Observations (Berlin)'!$B$5:$B$314,$B89,'Sources - Observations (Berlin)'!$D$5:$D$314,"press"),"")</f>
        <v>50</v>
      </c>
      <c r="D89" s="109" t="str">
        <f t="array" ref="D89">IFERROR(AVERAGEIFS('Sources - Observations (Berlin)'!$C$5:$C$314,'Sources - Observations (Berlin)'!$A$5:$A$314,$A89,'Sources - Observations (Berlin)'!$B$5:$B$314,$B89,'Sources - Observations (Berlin)'!$D$5:$D$314,"organisers"),"")</f>
        <v/>
      </c>
      <c r="E89" s="109" t="str">
        <f t="array" ref="E89">IFERROR(AVERAGEIFS('Sources - Observations (Berlin)'!$C$5:$C$314,'Sources - Observations (Berlin)'!$A$5:$A$314,$A89,'Sources - Observations (Berlin)'!$B$5:$B$314,$B89,'Sources - Observations (Berlin)'!$D$5:$D$314,"police"),"")</f>
        <v/>
      </c>
      <c r="F89" s="21">
        <f t="array" ref="F89">COUNTIFS('Sources - Observations (Berlin)'!$A$5:$A$314,$A89,'Sources - Observations (Berlin)'!$B$5:$B$314,$B89)</f>
        <v>1</v>
      </c>
      <c r="G89" s="41">
        <f t="array" ref="G89">IFERROR(AVERAGEIFS('Sources - Observations (Berlin)'!$C$5:$C$314,'Sources - Observations (Berlin)'!$A$5:$A$314,$A89,'Sources - Observations (Berlin)'!$B$5:$B$314,$B89),"")</f>
        <v>50</v>
      </c>
      <c r="H89" s="106" t="s">
        <v>295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104" t="s">
        <v>63</v>
      </c>
      <c r="B90" s="21">
        <v>2016.0</v>
      </c>
      <c r="C90" s="24">
        <f t="array" ref="C90">IFERROR(AVERAGEIFS('Sources - Observations (Berlin)'!$C$5:$C$314,'Sources - Observations (Berlin)'!$A$5:$A$314,$A90,'Sources - Observations (Berlin)'!$B$5:$B$314,$B90,'Sources - Observations (Berlin)'!$D$5:$D$314,"press"),"")</f>
        <v>50</v>
      </c>
      <c r="D90" s="109" t="str">
        <f t="array" ref="D90">IFERROR(AVERAGEIFS('Sources - Observations (Berlin)'!$C$5:$C$314,'Sources - Observations (Berlin)'!$A$5:$A$314,$A90,'Sources - Observations (Berlin)'!$B$5:$B$314,$B90,'Sources - Observations (Berlin)'!$D$5:$D$314,"organisers"),"")</f>
        <v/>
      </c>
      <c r="E90" s="109" t="str">
        <f t="array" ref="E90">IFERROR(AVERAGEIFS('Sources - Observations (Berlin)'!$C$5:$C$314,'Sources - Observations (Berlin)'!$A$5:$A$314,$A90,'Sources - Observations (Berlin)'!$B$5:$B$314,$B90,'Sources - Observations (Berlin)'!$D$5:$D$314,"police"),"")</f>
        <v/>
      </c>
      <c r="F90" s="21">
        <f t="array" ref="F90">COUNTIFS('Sources - Observations (Berlin)'!$A$5:$A$314,$A90,'Sources - Observations (Berlin)'!$B$5:$B$314,$B90)</f>
        <v>1</v>
      </c>
      <c r="G90" s="41">
        <f t="array" ref="G90">IFERROR(AVERAGEIFS('Sources - Observations (Berlin)'!$C$5:$C$314,'Sources - Observations (Berlin)'!$A$5:$A$314,$A90,'Sources - Observations (Berlin)'!$B$5:$B$314,$B90),"")</f>
        <v>50</v>
      </c>
      <c r="H90" s="106" t="s">
        <v>295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104" t="s">
        <v>63</v>
      </c>
      <c r="B91" s="21">
        <v>2017.0</v>
      </c>
      <c r="C91" s="24">
        <f t="array" ref="C91">IFERROR(AVERAGEIFS('Sources - Observations (Berlin)'!$C$5:$C$314,'Sources - Observations (Berlin)'!$A$5:$A$314,$A91,'Sources - Observations (Berlin)'!$B$5:$B$314,$B91,'Sources - Observations (Berlin)'!$D$5:$D$314,"press"),"")</f>
        <v>50</v>
      </c>
      <c r="D91" s="109" t="str">
        <f t="array" ref="D91">IFERROR(AVERAGEIFS('Sources - Observations (Berlin)'!$C$5:$C$314,'Sources - Observations (Berlin)'!$A$5:$A$314,$A91,'Sources - Observations (Berlin)'!$B$5:$B$314,$B91,'Sources - Observations (Berlin)'!$D$5:$D$314,"organisers"),"")</f>
        <v/>
      </c>
      <c r="E91" s="109" t="str">
        <f t="array" ref="E91">IFERROR(AVERAGEIFS('Sources - Observations (Berlin)'!$C$5:$C$314,'Sources - Observations (Berlin)'!$A$5:$A$314,$A91,'Sources - Observations (Berlin)'!$B$5:$B$314,$B91,'Sources - Observations (Berlin)'!$D$5:$D$314,"police"),"")</f>
        <v/>
      </c>
      <c r="F91" s="21">
        <f t="array" ref="F91">COUNTIFS('Sources - Observations (Berlin)'!$A$5:$A$314,$A91,'Sources - Observations (Berlin)'!$B$5:$B$314,$B91)</f>
        <v>1</v>
      </c>
      <c r="G91" s="41">
        <f t="array" ref="G91">IFERROR(AVERAGEIFS('Sources - Observations (Berlin)'!$C$5:$C$314,'Sources - Observations (Berlin)'!$A$5:$A$314,$A91,'Sources - Observations (Berlin)'!$B$5:$B$314,$B91),"")</f>
        <v>50</v>
      </c>
      <c r="H91" s="106" t="s">
        <v>295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104" t="s">
        <v>63</v>
      </c>
      <c r="B92" s="21">
        <v>2018.0</v>
      </c>
      <c r="C92" s="24">
        <f t="array" ref="C92">IFERROR(AVERAGEIFS('Sources - Observations (Berlin)'!$C$5:$C$314,'Sources - Observations (Berlin)'!$A$5:$A$314,$A92,'Sources - Observations (Berlin)'!$B$5:$B$314,$B92,'Sources - Observations (Berlin)'!$D$5:$D$314,"press"),"")</f>
        <v>30</v>
      </c>
      <c r="D92" s="109" t="str">
        <f t="array" ref="D92">IFERROR(AVERAGEIFS('Sources - Observations (Berlin)'!$C$5:$C$314,'Sources - Observations (Berlin)'!$A$5:$A$314,$A92,'Sources - Observations (Berlin)'!$B$5:$B$314,$B92,'Sources - Observations (Berlin)'!$D$5:$D$314,"organisers"),"")</f>
        <v/>
      </c>
      <c r="E92" s="109" t="str">
        <f t="array" ref="E92">IFERROR(AVERAGEIFS('Sources - Observations (Berlin)'!$C$5:$C$314,'Sources - Observations (Berlin)'!$A$5:$A$314,$A92,'Sources - Observations (Berlin)'!$B$5:$B$314,$B92,'Sources - Observations (Berlin)'!$D$5:$D$314,"police"),"")</f>
        <v/>
      </c>
      <c r="F92" s="21">
        <f t="array" ref="F92">COUNTIFS('Sources - Observations (Berlin)'!$A$5:$A$314,$A92,'Sources - Observations (Berlin)'!$B$5:$B$314,$B92)</f>
        <v>1</v>
      </c>
      <c r="G92" s="41">
        <f t="array" ref="G92">IFERROR(AVERAGEIFS('Sources - Observations (Berlin)'!$C$5:$C$314,'Sources - Observations (Berlin)'!$A$5:$A$314,$A92,'Sources - Observations (Berlin)'!$B$5:$B$314,$B92),"")</f>
        <v>30</v>
      </c>
      <c r="H92" s="106" t="s">
        <v>295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104" t="s">
        <v>63</v>
      </c>
      <c r="B93" s="21">
        <v>2019.0</v>
      </c>
      <c r="C93" s="109" t="str">
        <f t="array" ref="C93">IFERROR(AVERAGEIFS('Sources - Observations (Berlin)'!$C$5:$C$314,'Sources - Observations (Berlin)'!$A$5:$A$314,$A93,'Sources - Observations (Berlin)'!$B$5:$B$314,$B93,'Sources - Observations (Berlin)'!$D$5:$D$314,"press"),"")</f>
        <v/>
      </c>
      <c r="D93" s="24">
        <f t="array" ref="D93">IFERROR(AVERAGEIFS('Sources - Observations (Berlin)'!$C$5:$C$314,'Sources - Observations (Berlin)'!$A$5:$A$314,$A93,'Sources - Observations (Berlin)'!$B$5:$B$314,$B93,'Sources - Observations (Berlin)'!$D$5:$D$314,"organisers"),"")</f>
        <v>100</v>
      </c>
      <c r="E93" s="109" t="str">
        <f t="array" ref="E93">IFERROR(AVERAGEIFS('Sources - Observations (Berlin)'!$C$5:$C$314,'Sources - Observations (Berlin)'!$A$5:$A$314,$A93,'Sources - Observations (Berlin)'!$B$5:$B$314,$B93,'Sources - Observations (Berlin)'!$D$5:$D$314,"police"),"")</f>
        <v/>
      </c>
      <c r="F93" s="21">
        <f t="array" ref="F93">COUNTIFS('Sources - Observations (Berlin)'!$A$5:$A$314,$A93,'Sources - Observations (Berlin)'!$B$5:$B$314,$B93)</f>
        <v>1</v>
      </c>
      <c r="G93" s="41">
        <f t="array" ref="G93">IFERROR(AVERAGEIFS('Sources - Observations (Berlin)'!$C$5:$C$314,'Sources - Observations (Berlin)'!$A$5:$A$314,$A93,'Sources - Observations (Berlin)'!$B$5:$B$314,$B93),"")</f>
        <v>100</v>
      </c>
      <c r="H93" s="106" t="s">
        <v>295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104" t="s">
        <v>229</v>
      </c>
      <c r="B94" s="21">
        <v>1990.0</v>
      </c>
      <c r="C94" s="24">
        <f t="array" ref="C94">IFERROR(AVERAGEIFS('Sources - Observations (Berlin)'!$C$5:$C$314,'Sources - Observations (Berlin)'!$A$5:$A$314,$A94,'Sources - Observations (Berlin)'!$B$5:$B$314,$B94,'Sources - Observations (Berlin)'!$D$5:$D$314,"press"),"")</f>
        <v>15500</v>
      </c>
      <c r="D94" s="109" t="str">
        <f t="array" ref="D94">IFERROR(AVERAGEIFS('Sources - Observations (Berlin)'!$C$5:$C$314,'Sources - Observations (Berlin)'!$A$5:$A$314,$A94,'Sources - Observations (Berlin)'!$B$5:$B$314,$B94,'Sources - Observations (Berlin)'!$D$5:$D$314,"organisers"),"")</f>
        <v/>
      </c>
      <c r="E94" s="109" t="str">
        <f t="array" ref="E94">IFERROR(AVERAGEIFS('Sources - Observations (Berlin)'!$C$5:$C$314,'Sources - Observations (Berlin)'!$A$5:$A$314,$A94,'Sources - Observations (Berlin)'!$B$5:$B$314,$B94,'Sources - Observations (Berlin)'!$D$5:$D$314,"police"),"")</f>
        <v/>
      </c>
      <c r="F94" s="21">
        <f t="array" ref="F94">COUNTIFS('Sources - Observations (Berlin)'!$A$5:$A$314,$A94,'Sources - Observations (Berlin)'!$B$5:$B$314,$B94)</f>
        <v>2</v>
      </c>
      <c r="G94" s="41">
        <f t="array" ref="G94">IFERROR(AVERAGEIFS('Sources - Observations (Berlin)'!$C$5:$C$314,'Sources - Observations (Berlin)'!$A$5:$A$314,$A94,'Sources - Observations (Berlin)'!$B$5:$B$314,$B94),"")</f>
        <v>15500</v>
      </c>
      <c r="H94" s="106" t="s">
        <v>295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104" t="s">
        <v>229</v>
      </c>
      <c r="B95" s="21">
        <v>1992.0</v>
      </c>
      <c r="C95" s="24">
        <f t="array" ref="C95">IFERROR(AVERAGEIFS('Sources - Observations (Berlin)'!$C$5:$C$314,'Sources - Observations (Berlin)'!$A$5:$A$314,$A95,'Sources - Observations (Berlin)'!$B$5:$B$314,$B95,'Sources - Observations (Berlin)'!$D$5:$D$314,"press"),"")</f>
        <v>6000</v>
      </c>
      <c r="D95" s="109" t="str">
        <f t="array" ref="D95">IFERROR(AVERAGEIFS('Sources - Observations (Berlin)'!$C$5:$C$314,'Sources - Observations (Berlin)'!$A$5:$A$314,$A95,'Sources - Observations (Berlin)'!$B$5:$B$314,$B95,'Sources - Observations (Berlin)'!$D$5:$D$314,"organisers"),"")</f>
        <v/>
      </c>
      <c r="E95" s="109" t="str">
        <f t="array" ref="E95">IFERROR(AVERAGEIFS('Sources - Observations (Berlin)'!$C$5:$C$314,'Sources - Observations (Berlin)'!$A$5:$A$314,$A95,'Sources - Observations (Berlin)'!$B$5:$B$314,$B95,'Sources - Observations (Berlin)'!$D$5:$D$314,"police"),"")</f>
        <v/>
      </c>
      <c r="F95" s="21">
        <f t="array" ref="F95">COUNTIFS('Sources - Observations (Berlin)'!$A$5:$A$314,$A95,'Sources - Observations (Berlin)'!$B$5:$B$314,$B95)</f>
        <v>1</v>
      </c>
      <c r="G95" s="41">
        <f t="array" ref="G95">IFERROR(AVERAGEIFS('Sources - Observations (Berlin)'!$C$5:$C$314,'Sources - Observations (Berlin)'!$A$5:$A$314,$A95,'Sources - Observations (Berlin)'!$B$5:$B$314,$B95),"")</f>
        <v>6000</v>
      </c>
      <c r="H95" s="106" t="s">
        <v>295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104" t="s">
        <v>229</v>
      </c>
      <c r="B96" s="21">
        <v>1993.0</v>
      </c>
      <c r="C96" s="24">
        <f t="array" ref="C96">IFERROR(AVERAGEIFS('Sources - Observations (Berlin)'!$C$5:$C$314,'Sources - Observations (Berlin)'!$A$5:$A$314,$A96,'Sources - Observations (Berlin)'!$B$5:$B$314,$B96,'Sources - Observations (Berlin)'!$D$5:$D$314,"press"),"")</f>
        <v>6000</v>
      </c>
      <c r="D96" s="109" t="str">
        <f t="array" ref="D96">IFERROR(AVERAGEIFS('Sources - Observations (Berlin)'!$C$5:$C$314,'Sources - Observations (Berlin)'!$A$5:$A$314,$A96,'Sources - Observations (Berlin)'!$B$5:$B$314,$B96,'Sources - Observations (Berlin)'!$D$5:$D$314,"organisers"),"")</f>
        <v/>
      </c>
      <c r="E96" s="109" t="str">
        <f t="array" ref="E96">IFERROR(AVERAGEIFS('Sources - Observations (Berlin)'!$C$5:$C$314,'Sources - Observations (Berlin)'!$A$5:$A$314,$A96,'Sources - Observations (Berlin)'!$B$5:$B$314,$B96,'Sources - Observations (Berlin)'!$D$5:$D$314,"police"),"")</f>
        <v/>
      </c>
      <c r="F96" s="21">
        <f t="array" ref="F96">COUNTIFS('Sources - Observations (Berlin)'!$A$5:$A$314,$A96,'Sources - Observations (Berlin)'!$B$5:$B$314,$B96)</f>
        <v>1</v>
      </c>
      <c r="G96" s="41">
        <f t="array" ref="G96">IFERROR(AVERAGEIFS('Sources - Observations (Berlin)'!$C$5:$C$314,'Sources - Observations (Berlin)'!$A$5:$A$314,$A96,'Sources - Observations (Berlin)'!$B$5:$B$314,$B96),"")</f>
        <v>6000</v>
      </c>
      <c r="H96" s="106" t="s">
        <v>295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104" t="s">
        <v>229</v>
      </c>
      <c r="B97" s="21">
        <v>1994.0</v>
      </c>
      <c r="C97" s="24">
        <f t="array" ref="C97">IFERROR(AVERAGEIFS('Sources - Observations (Berlin)'!$C$5:$C$314,'Sources - Observations (Berlin)'!$A$5:$A$314,$A97,'Sources - Observations (Berlin)'!$B$5:$B$314,$B97,'Sources - Observations (Berlin)'!$D$5:$D$314,"press"),"")</f>
        <v>1000</v>
      </c>
      <c r="D97" s="109" t="str">
        <f t="array" ref="D97">IFERROR(AVERAGEIFS('Sources - Observations (Berlin)'!$C$5:$C$314,'Sources - Observations (Berlin)'!$A$5:$A$314,$A97,'Sources - Observations (Berlin)'!$B$5:$B$314,$B97,'Sources - Observations (Berlin)'!$D$5:$D$314,"organisers"),"")</f>
        <v/>
      </c>
      <c r="E97" s="109" t="str">
        <f t="array" ref="E97">IFERROR(AVERAGEIFS('Sources - Observations (Berlin)'!$C$5:$C$314,'Sources - Observations (Berlin)'!$A$5:$A$314,$A97,'Sources - Observations (Berlin)'!$B$5:$B$314,$B97,'Sources - Observations (Berlin)'!$D$5:$D$314,"police"),"")</f>
        <v/>
      </c>
      <c r="F97" s="21">
        <f t="array" ref="F97">COUNTIFS('Sources - Observations (Berlin)'!$A$5:$A$314,$A97,'Sources - Observations (Berlin)'!$B$5:$B$314,$B97)</f>
        <v>1</v>
      </c>
      <c r="G97" s="41">
        <f t="array" ref="G97">IFERROR(AVERAGEIFS('Sources - Observations (Berlin)'!$C$5:$C$314,'Sources - Observations (Berlin)'!$A$5:$A$314,$A97,'Sources - Observations (Berlin)'!$B$5:$B$314,$B97),"")</f>
        <v>1000</v>
      </c>
      <c r="H97" s="106" t="s">
        <v>295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104" t="s">
        <v>229</v>
      </c>
      <c r="B98" s="21">
        <v>1995.0</v>
      </c>
      <c r="C98" s="24"/>
      <c r="D98" s="109"/>
      <c r="E98" s="109"/>
      <c r="F98" s="21" t="s">
        <v>296</v>
      </c>
      <c r="G98" s="41">
        <f>AVERAGE(G97,G99)</f>
        <v>1600</v>
      </c>
      <c r="H98" s="106" t="s">
        <v>295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104" t="s">
        <v>229</v>
      </c>
      <c r="B99" s="21">
        <v>1996.0</v>
      </c>
      <c r="C99" s="24">
        <f t="array" ref="C99">IFERROR(AVERAGEIFS('Sources - Observations (Berlin)'!$C$5:$C$314,'Sources - Observations (Berlin)'!$A$5:$A$314,$A99,'Sources - Observations (Berlin)'!$B$5:$B$314,$B99,'Sources - Observations (Berlin)'!$D$5:$D$314,"press"),"")</f>
        <v>2200</v>
      </c>
      <c r="D99" s="109" t="str">
        <f t="array" ref="D99">IFERROR(AVERAGEIFS('Sources - Observations (Berlin)'!$C$5:$C$314,'Sources - Observations (Berlin)'!$A$5:$A$314,$A99,'Sources - Observations (Berlin)'!$B$5:$B$314,$B99,'Sources - Observations (Berlin)'!$D$5:$D$314,"organisers"),"")</f>
        <v/>
      </c>
      <c r="E99" s="109" t="str">
        <f t="array" ref="E99">IFERROR(AVERAGEIFS('Sources - Observations (Berlin)'!$C$5:$C$314,'Sources - Observations (Berlin)'!$A$5:$A$314,$A99,'Sources - Observations (Berlin)'!$B$5:$B$314,$B99,'Sources - Observations (Berlin)'!$D$5:$D$314,"police"),"")</f>
        <v/>
      </c>
      <c r="F99" s="21">
        <f t="array" ref="F99">COUNTIFS('Sources - Observations (Berlin)'!$A$5:$A$314,$A99,'Sources - Observations (Berlin)'!$B$5:$B$314,$B99)</f>
        <v>2</v>
      </c>
      <c r="G99" s="41">
        <f t="array" ref="G99">IFERROR(AVERAGEIFS('Sources - Observations (Berlin)'!$C$5:$C$314,'Sources - Observations (Berlin)'!$A$5:$A$314,$A99,'Sources - Observations (Berlin)'!$B$5:$B$314,$B99),"")</f>
        <v>2200</v>
      </c>
      <c r="H99" s="106" t="s">
        <v>295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104" t="s">
        <v>229</v>
      </c>
      <c r="B100" s="21">
        <v>1997.0</v>
      </c>
      <c r="C100" s="24">
        <f t="array" ref="C100">IFERROR(AVERAGEIFS('Sources - Observations (Berlin)'!$C$5:$C$314,'Sources - Observations (Berlin)'!$A$5:$A$314,$A100,'Sources - Observations (Berlin)'!$B$5:$B$314,$B100,'Sources - Observations (Berlin)'!$D$5:$D$314,"press"),"")</f>
        <v>5000</v>
      </c>
      <c r="D100" s="24">
        <f t="array" ref="D100">IFERROR(AVERAGEIFS('Sources - Observations (Berlin)'!$C$5:$C$314,'Sources - Observations (Berlin)'!$A$5:$A$314,$A100,'Sources - Observations (Berlin)'!$B$5:$B$314,$B100,'Sources - Observations (Berlin)'!$D$5:$D$314,"organisers"),"")</f>
        <v>15000</v>
      </c>
      <c r="E100" s="24">
        <f t="array" ref="E100">IFERROR(AVERAGEIFS('Sources - Observations (Berlin)'!$C$5:$C$314,'Sources - Observations (Berlin)'!$A$5:$A$314,$A100,'Sources - Observations (Berlin)'!$B$5:$B$314,$B100,'Sources - Observations (Berlin)'!$D$5:$D$314,"police"),"")</f>
        <v>2000</v>
      </c>
      <c r="F100" s="21">
        <f t="array" ref="F100">COUNTIFS('Sources - Observations (Berlin)'!$A$5:$A$314,$A100,'Sources - Observations (Berlin)'!$B$5:$B$314,$B100)</f>
        <v>3</v>
      </c>
      <c r="G100" s="41">
        <f t="array" ref="G100">IFERROR(AVERAGEIFS('Sources - Observations (Berlin)'!$C$5:$C$314,'Sources - Observations (Berlin)'!$A$5:$A$314,$A100,'Sources - Observations (Berlin)'!$B$5:$B$314,$B100),"")</f>
        <v>7333.333333</v>
      </c>
      <c r="H100" s="106" t="s">
        <v>295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104" t="s">
        <v>229</v>
      </c>
      <c r="B101" s="21">
        <v>1998.0</v>
      </c>
      <c r="C101" s="24">
        <f t="array" ref="C101">IFERROR(AVERAGEIFS('Sources - Observations (Berlin)'!$C$5:$C$314,'Sources - Observations (Berlin)'!$A$5:$A$314,$A101,'Sources - Observations (Berlin)'!$B$5:$B$314,$B101,'Sources - Observations (Berlin)'!$D$5:$D$314,"press"),"")</f>
        <v>6500</v>
      </c>
      <c r="D101" s="109" t="str">
        <f t="array" ref="D101">IFERROR(AVERAGEIFS('Sources - Observations (Berlin)'!$C$5:$C$314,'Sources - Observations (Berlin)'!$A$5:$A$314,$A101,'Sources - Observations (Berlin)'!$B$5:$B$314,$B101,'Sources - Observations (Berlin)'!$D$5:$D$314,"organisers"),"")</f>
        <v/>
      </c>
      <c r="E101" s="109" t="str">
        <f t="array" ref="E101">IFERROR(AVERAGEIFS('Sources - Observations (Berlin)'!$C$5:$C$314,'Sources - Observations (Berlin)'!$A$5:$A$314,$A101,'Sources - Observations (Berlin)'!$B$5:$B$314,$B101,'Sources - Observations (Berlin)'!$D$5:$D$314,"police"),"")</f>
        <v/>
      </c>
      <c r="F101" s="21">
        <f t="array" ref="F101">COUNTIFS('Sources - Observations (Berlin)'!$A$5:$A$314,$A101,'Sources - Observations (Berlin)'!$B$5:$B$314,$B101)</f>
        <v>2</v>
      </c>
      <c r="G101" s="41">
        <f t="array" ref="G101">IFERROR(AVERAGEIFS('Sources - Observations (Berlin)'!$C$5:$C$314,'Sources - Observations (Berlin)'!$A$5:$A$314,$A101,'Sources - Observations (Berlin)'!$B$5:$B$314,$B101),"")</f>
        <v>6500</v>
      </c>
      <c r="H101" s="106" t="s">
        <v>295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104" t="s">
        <v>229</v>
      </c>
      <c r="B102" s="21">
        <v>1999.0</v>
      </c>
      <c r="C102" s="24">
        <f t="array" ref="C102">IFERROR(AVERAGEIFS('Sources - Observations (Berlin)'!$C$5:$C$314,'Sources - Observations (Berlin)'!$A$5:$A$314,$A102,'Sources - Observations (Berlin)'!$B$5:$B$314,$B102,'Sources - Observations (Berlin)'!$D$5:$D$314,"press"),"")</f>
        <v>10000</v>
      </c>
      <c r="D102" s="109" t="str">
        <f t="array" ref="D102">IFERROR(AVERAGEIFS('Sources - Observations (Berlin)'!$C$5:$C$314,'Sources - Observations (Berlin)'!$A$5:$A$314,$A102,'Sources - Observations (Berlin)'!$B$5:$B$314,$B102,'Sources - Observations (Berlin)'!$D$5:$D$314,"organisers"),"")</f>
        <v/>
      </c>
      <c r="E102" s="109" t="str">
        <f t="array" ref="E102">IFERROR(AVERAGEIFS('Sources - Observations (Berlin)'!$C$5:$C$314,'Sources - Observations (Berlin)'!$A$5:$A$314,$A102,'Sources - Observations (Berlin)'!$B$5:$B$314,$B102,'Sources - Observations (Berlin)'!$D$5:$D$314,"police"),"")</f>
        <v/>
      </c>
      <c r="F102" s="21">
        <f t="array" ref="F102">COUNTIFS('Sources - Observations (Berlin)'!$A$5:$A$314,$A102,'Sources - Observations (Berlin)'!$B$5:$B$314,$B102)</f>
        <v>1</v>
      </c>
      <c r="G102" s="41">
        <f t="array" ref="G102">IFERROR(AVERAGEIFS('Sources - Observations (Berlin)'!$C$5:$C$314,'Sources - Observations (Berlin)'!$A$5:$A$314,$A102,'Sources - Observations (Berlin)'!$B$5:$B$314,$B102),"")</f>
        <v>10000</v>
      </c>
      <c r="H102" s="106" t="s">
        <v>295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104" t="s">
        <v>229</v>
      </c>
      <c r="B103" s="21">
        <v>2000.0</v>
      </c>
      <c r="C103" s="24">
        <f t="array" ref="C103">IFERROR(AVERAGEIFS('Sources - Observations (Berlin)'!$C$5:$C$314,'Sources - Observations (Berlin)'!$A$5:$A$314,$A103,'Sources - Observations (Berlin)'!$B$5:$B$314,$B103,'Sources - Observations (Berlin)'!$D$5:$D$314,"press"),"")</f>
        <v>3666.666667</v>
      </c>
      <c r="D103" s="109" t="str">
        <f t="array" ref="D103">IFERROR(AVERAGEIFS('Sources - Observations (Berlin)'!$C$5:$C$314,'Sources - Observations (Berlin)'!$A$5:$A$314,$A103,'Sources - Observations (Berlin)'!$B$5:$B$314,$B103,'Sources - Observations (Berlin)'!$D$5:$D$314,"organisers"),"")</f>
        <v/>
      </c>
      <c r="E103" s="109" t="str">
        <f t="array" ref="E103">IFERROR(AVERAGEIFS('Sources - Observations (Berlin)'!$C$5:$C$314,'Sources - Observations (Berlin)'!$A$5:$A$314,$A103,'Sources - Observations (Berlin)'!$B$5:$B$314,$B103,'Sources - Observations (Berlin)'!$D$5:$D$314,"police"),"")</f>
        <v/>
      </c>
      <c r="F103" s="21">
        <f t="array" ref="F103">COUNTIFS('Sources - Observations (Berlin)'!$A$5:$A$314,$A103,'Sources - Observations (Berlin)'!$B$5:$B$314,$B103)</f>
        <v>3</v>
      </c>
      <c r="G103" s="41">
        <f t="array" ref="G103">IFERROR(AVERAGEIFS('Sources - Observations (Berlin)'!$C$5:$C$314,'Sources - Observations (Berlin)'!$A$5:$A$314,$A103,'Sources - Observations (Berlin)'!$B$5:$B$314,$B103),"")</f>
        <v>3666.666667</v>
      </c>
      <c r="H103" s="106" t="s">
        <v>295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104" t="s">
        <v>229</v>
      </c>
      <c r="B104" s="21">
        <v>2001.0</v>
      </c>
      <c r="C104" s="24">
        <f t="array" ref="C104">IFERROR(AVERAGEIFS('Sources - Observations (Berlin)'!$C$5:$C$314,'Sources - Observations (Berlin)'!$A$5:$A$314,$A104,'Sources - Observations (Berlin)'!$B$5:$B$314,$B104,'Sources - Observations (Berlin)'!$D$5:$D$314,"press"),"")</f>
        <v>7250</v>
      </c>
      <c r="D104" s="109" t="str">
        <f t="array" ref="D104">IFERROR(AVERAGEIFS('Sources - Observations (Berlin)'!$C$5:$C$314,'Sources - Observations (Berlin)'!$A$5:$A$314,$A104,'Sources - Observations (Berlin)'!$B$5:$B$314,$B104,'Sources - Observations (Berlin)'!$D$5:$D$314,"organisers"),"")</f>
        <v/>
      </c>
      <c r="E104" s="109" t="str">
        <f t="array" ref="E104">IFERROR(AVERAGEIFS('Sources - Observations (Berlin)'!$C$5:$C$314,'Sources - Observations (Berlin)'!$A$5:$A$314,$A104,'Sources - Observations (Berlin)'!$B$5:$B$314,$B104,'Sources - Observations (Berlin)'!$D$5:$D$314,"police"),"")</f>
        <v/>
      </c>
      <c r="F104" s="21">
        <f t="array" ref="F104">COUNTIFS('Sources - Observations (Berlin)'!$A$5:$A$314,$A104,'Sources - Observations (Berlin)'!$B$5:$B$314,$B104)</f>
        <v>2</v>
      </c>
      <c r="G104" s="41">
        <f t="array" ref="G104">IFERROR(AVERAGEIFS('Sources - Observations (Berlin)'!$C$5:$C$314,'Sources - Observations (Berlin)'!$A$5:$A$314,$A104,'Sources - Observations (Berlin)'!$B$5:$B$314,$B104),"")</f>
        <v>7250</v>
      </c>
      <c r="H104" s="106" t="s">
        <v>295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104" t="s">
        <v>229</v>
      </c>
      <c r="B105" s="21">
        <v>2002.0</v>
      </c>
      <c r="C105" s="24">
        <f t="array" ref="C105">IFERROR(AVERAGEIFS('Sources - Observations (Berlin)'!$C$5:$C$314,'Sources - Observations (Berlin)'!$A$5:$A$314,$A105,'Sources - Observations (Berlin)'!$B$5:$B$314,$B105,'Sources - Observations (Berlin)'!$D$5:$D$314,"press"),"")</f>
        <v>2250</v>
      </c>
      <c r="D105" s="109" t="str">
        <f t="array" ref="D105">IFERROR(AVERAGEIFS('Sources - Observations (Berlin)'!$C$5:$C$314,'Sources - Observations (Berlin)'!$A$5:$A$314,$A105,'Sources - Observations (Berlin)'!$B$5:$B$314,$B105,'Sources - Observations (Berlin)'!$D$5:$D$314,"organisers"),"")</f>
        <v/>
      </c>
      <c r="E105" s="109" t="str">
        <f t="array" ref="E105">IFERROR(AVERAGEIFS('Sources - Observations (Berlin)'!$C$5:$C$314,'Sources - Observations (Berlin)'!$A$5:$A$314,$A105,'Sources - Observations (Berlin)'!$B$5:$B$314,$B105,'Sources - Observations (Berlin)'!$D$5:$D$314,"police"),"")</f>
        <v/>
      </c>
      <c r="F105" s="21">
        <f t="array" ref="F105">COUNTIFS('Sources - Observations (Berlin)'!$A$5:$A$314,$A105,'Sources - Observations (Berlin)'!$B$5:$B$314,$B105)</f>
        <v>2</v>
      </c>
      <c r="G105" s="41">
        <f t="array" ref="G105">IFERROR(AVERAGEIFS('Sources - Observations (Berlin)'!$C$5:$C$314,'Sources - Observations (Berlin)'!$A$5:$A$314,$A105,'Sources - Observations (Berlin)'!$B$5:$B$314,$B105),"")</f>
        <v>2250</v>
      </c>
      <c r="H105" s="106" t="s">
        <v>295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104" t="s">
        <v>59</v>
      </c>
      <c r="B106" s="21">
        <v>1996.0</v>
      </c>
      <c r="C106" s="24">
        <f t="array" ref="C106">IFERROR(AVERAGEIFS('Sources - Observations (Berlin)'!$C$5:$C$314,'Sources - Observations (Berlin)'!$A$5:$A$314,$A106,'Sources - Observations (Berlin)'!$B$5:$B$314,$B106,'Sources - Observations (Berlin)'!$D$5:$D$314,"press"),"")</f>
        <v>3000</v>
      </c>
      <c r="D106" s="109" t="str">
        <f t="array" ref="D106">IFERROR(AVERAGEIFS('Sources - Observations (Berlin)'!$C$5:$C$314,'Sources - Observations (Berlin)'!$A$5:$A$314,$A106,'Sources - Observations (Berlin)'!$B$5:$B$314,$B106,'Sources - Observations (Berlin)'!$D$5:$D$314,"organisers"),"")</f>
        <v/>
      </c>
      <c r="E106" s="109" t="str">
        <f t="array" ref="E106">IFERROR(AVERAGEIFS('Sources - Observations (Berlin)'!$C$5:$C$314,'Sources - Observations (Berlin)'!$A$5:$A$314,$A106,'Sources - Observations (Berlin)'!$B$5:$B$314,$B106,'Sources - Observations (Berlin)'!$D$5:$D$314,"police"),"")</f>
        <v/>
      </c>
      <c r="F106" s="21">
        <f t="array" ref="F106">COUNTIFS('Sources - Observations (Berlin)'!$A$5:$A$314,$A106,'Sources - Observations (Berlin)'!$B$5:$B$314,$B106)</f>
        <v>1</v>
      </c>
      <c r="G106" s="41">
        <f t="array" ref="G106">IFERROR(AVERAGEIFS('Sources - Observations (Berlin)'!$C$5:$C$314,'Sources - Observations (Berlin)'!$A$5:$A$314,$A106,'Sources - Observations (Berlin)'!$B$5:$B$314,$B106),"")</f>
        <v>3000</v>
      </c>
      <c r="H106" s="106" t="s">
        <v>295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104" t="s">
        <v>59</v>
      </c>
      <c r="B107" s="21">
        <v>1997.0</v>
      </c>
      <c r="C107" s="24">
        <f t="array" ref="C107">IFERROR(AVERAGEIFS('Sources - Observations (Berlin)'!$C$5:$C$314,'Sources - Observations (Berlin)'!$A$5:$A$314,$A107,'Sources - Observations (Berlin)'!$B$5:$B$314,$B107,'Sources - Observations (Berlin)'!$D$5:$D$314,"press"),"")</f>
        <v>2000</v>
      </c>
      <c r="D107" s="109" t="str">
        <f t="array" ref="D107">IFERROR(AVERAGEIFS('Sources - Observations (Berlin)'!$C$5:$C$314,'Sources - Observations (Berlin)'!$A$5:$A$314,$A107,'Sources - Observations (Berlin)'!$B$5:$B$314,$B107,'Sources - Observations (Berlin)'!$D$5:$D$314,"organisers"),"")</f>
        <v/>
      </c>
      <c r="E107" s="109" t="str">
        <f t="array" ref="E107">IFERROR(AVERAGEIFS('Sources - Observations (Berlin)'!$C$5:$C$314,'Sources - Observations (Berlin)'!$A$5:$A$314,$A107,'Sources - Observations (Berlin)'!$B$5:$B$314,$B107,'Sources - Observations (Berlin)'!$D$5:$D$314,"police"),"")</f>
        <v/>
      </c>
      <c r="F107" s="21">
        <f t="array" ref="F107">COUNTIFS('Sources - Observations (Berlin)'!$A$5:$A$314,$A107,'Sources - Observations (Berlin)'!$B$5:$B$314,$B107)</f>
        <v>1</v>
      </c>
      <c r="G107" s="41">
        <f t="array" ref="G107">IFERROR(AVERAGEIFS('Sources - Observations (Berlin)'!$C$5:$C$314,'Sources - Observations (Berlin)'!$A$5:$A$314,$A107,'Sources - Observations (Berlin)'!$B$5:$B$314,$B107),"")</f>
        <v>2000</v>
      </c>
      <c r="H107" s="106" t="s">
        <v>295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104" t="s">
        <v>59</v>
      </c>
      <c r="B108" s="21">
        <v>1998.0</v>
      </c>
      <c r="C108" s="24">
        <f t="array" ref="C108">IFERROR(AVERAGEIFS('Sources - Observations (Berlin)'!$C$5:$C$314,'Sources - Observations (Berlin)'!$A$5:$A$314,$A108,'Sources - Observations (Berlin)'!$B$5:$B$314,$B108,'Sources - Observations (Berlin)'!$D$5:$D$314,"press"),"")</f>
        <v>1750</v>
      </c>
      <c r="D108" s="109" t="str">
        <f t="array" ref="D108">IFERROR(AVERAGEIFS('Sources - Observations (Berlin)'!$C$5:$C$314,'Sources - Observations (Berlin)'!$A$5:$A$314,$A108,'Sources - Observations (Berlin)'!$B$5:$B$314,$B108,'Sources - Observations (Berlin)'!$D$5:$D$314,"organisers"),"")</f>
        <v/>
      </c>
      <c r="E108" s="109" t="str">
        <f t="array" ref="E108">IFERROR(AVERAGEIFS('Sources - Observations (Berlin)'!$C$5:$C$314,'Sources - Observations (Berlin)'!$A$5:$A$314,$A108,'Sources - Observations (Berlin)'!$B$5:$B$314,$B108,'Sources - Observations (Berlin)'!$D$5:$D$314,"police"),"")</f>
        <v/>
      </c>
      <c r="F108" s="21">
        <f t="array" ref="F108">COUNTIFS('Sources - Observations (Berlin)'!$A$5:$A$314,$A108,'Sources - Observations (Berlin)'!$B$5:$B$314,$B108)</f>
        <v>1</v>
      </c>
      <c r="G108" s="41">
        <f t="array" ref="G108">IFERROR(AVERAGEIFS('Sources - Observations (Berlin)'!$C$5:$C$314,'Sources - Observations (Berlin)'!$A$5:$A$314,$A108,'Sources - Observations (Berlin)'!$B$5:$B$314,$B108),"")</f>
        <v>1750</v>
      </c>
      <c r="H108" s="106" t="s">
        <v>295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104" t="s">
        <v>59</v>
      </c>
      <c r="B109" s="21">
        <v>1999.0</v>
      </c>
      <c r="C109" s="24">
        <f t="array" ref="C109">IFERROR(AVERAGEIFS('Sources - Observations (Berlin)'!$C$5:$C$314,'Sources - Observations (Berlin)'!$A$5:$A$314,$A109,'Sources - Observations (Berlin)'!$B$5:$B$314,$B109,'Sources - Observations (Berlin)'!$D$5:$D$314,"press"),"")</f>
        <v>1500</v>
      </c>
      <c r="D109" s="109" t="str">
        <f t="array" ref="D109">IFERROR(AVERAGEIFS('Sources - Observations (Berlin)'!$C$5:$C$314,'Sources - Observations (Berlin)'!$A$5:$A$314,$A109,'Sources - Observations (Berlin)'!$B$5:$B$314,$B109,'Sources - Observations (Berlin)'!$D$5:$D$314,"organisers"),"")</f>
        <v/>
      </c>
      <c r="E109" s="109" t="str">
        <f t="array" ref="E109">IFERROR(AVERAGEIFS('Sources - Observations (Berlin)'!$C$5:$C$314,'Sources - Observations (Berlin)'!$A$5:$A$314,$A109,'Sources - Observations (Berlin)'!$B$5:$B$314,$B109,'Sources - Observations (Berlin)'!$D$5:$D$314,"police"),"")</f>
        <v/>
      </c>
      <c r="F109" s="21">
        <f t="array" ref="F109">COUNTIFS('Sources - Observations (Berlin)'!$A$5:$A$314,$A109,'Sources - Observations (Berlin)'!$B$5:$B$314,$B109)</f>
        <v>1</v>
      </c>
      <c r="G109" s="41">
        <f t="array" ref="G109">IFERROR(AVERAGEIFS('Sources - Observations (Berlin)'!$C$5:$C$314,'Sources - Observations (Berlin)'!$A$5:$A$314,$A109,'Sources - Observations (Berlin)'!$B$5:$B$314,$B109),"")</f>
        <v>1500</v>
      </c>
      <c r="H109" s="106" t="s">
        <v>295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104" t="s">
        <v>59</v>
      </c>
      <c r="B110" s="21">
        <v>2000.0</v>
      </c>
      <c r="C110" s="24">
        <f t="array" ref="C110">IFERROR(AVERAGEIFS('Sources - Observations (Berlin)'!$C$5:$C$314,'Sources - Observations (Berlin)'!$A$5:$A$314,$A110,'Sources - Observations (Berlin)'!$B$5:$B$314,$B110,'Sources - Observations (Berlin)'!$D$5:$D$314,"press"),"")</f>
        <v>1266.666667</v>
      </c>
      <c r="D110" s="109" t="str">
        <f t="array" ref="D110">IFERROR(AVERAGEIFS('Sources - Observations (Berlin)'!$C$5:$C$314,'Sources - Observations (Berlin)'!$A$5:$A$314,$A110,'Sources - Observations (Berlin)'!$B$5:$B$314,$B110,'Sources - Observations (Berlin)'!$D$5:$D$314,"organisers"),"")</f>
        <v/>
      </c>
      <c r="E110" s="109" t="str">
        <f t="array" ref="E110">IFERROR(AVERAGEIFS('Sources - Observations (Berlin)'!$C$5:$C$314,'Sources - Observations (Berlin)'!$A$5:$A$314,$A110,'Sources - Observations (Berlin)'!$B$5:$B$314,$B110,'Sources - Observations (Berlin)'!$D$5:$D$314,"police"),"")</f>
        <v/>
      </c>
      <c r="F110" s="21">
        <f t="array" ref="F110">COUNTIFS('Sources - Observations (Berlin)'!$A$5:$A$314,$A110,'Sources - Observations (Berlin)'!$B$5:$B$314,$B110)</f>
        <v>3</v>
      </c>
      <c r="G110" s="41">
        <f t="array" ref="G110">IFERROR(AVERAGEIFS('Sources - Observations (Berlin)'!$C$5:$C$314,'Sources - Observations (Berlin)'!$A$5:$A$314,$A110,'Sources - Observations (Berlin)'!$B$5:$B$314,$B110),"")</f>
        <v>1266.666667</v>
      </c>
      <c r="H110" s="106" t="s">
        <v>295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104" t="s">
        <v>59</v>
      </c>
      <c r="B111" s="21">
        <v>2001.0</v>
      </c>
      <c r="C111" s="24">
        <f t="array" ref="C111">IFERROR(AVERAGEIFS('Sources - Observations (Berlin)'!$C$5:$C$314,'Sources - Observations (Berlin)'!$A$5:$A$314,$A111,'Sources - Observations (Berlin)'!$B$5:$B$314,$B111,'Sources - Observations (Berlin)'!$D$5:$D$314,"press"),"")</f>
        <v>2250</v>
      </c>
      <c r="D111" s="109" t="str">
        <f t="array" ref="D111">IFERROR(AVERAGEIFS('Sources - Observations (Berlin)'!$C$5:$C$314,'Sources - Observations (Berlin)'!$A$5:$A$314,$A111,'Sources - Observations (Berlin)'!$B$5:$B$314,$B111,'Sources - Observations (Berlin)'!$D$5:$D$314,"organisers"),"")</f>
        <v/>
      </c>
      <c r="E111" s="109" t="str">
        <f t="array" ref="E111">IFERROR(AVERAGEIFS('Sources - Observations (Berlin)'!$C$5:$C$314,'Sources - Observations (Berlin)'!$A$5:$A$314,$A111,'Sources - Observations (Berlin)'!$B$5:$B$314,$B111,'Sources - Observations (Berlin)'!$D$5:$D$314,"police"),"")</f>
        <v/>
      </c>
      <c r="F111" s="21">
        <f t="array" ref="F111">COUNTIFS('Sources - Observations (Berlin)'!$A$5:$A$314,$A111,'Sources - Observations (Berlin)'!$B$5:$B$314,$B111)</f>
        <v>2</v>
      </c>
      <c r="G111" s="41">
        <f t="array" ref="G111">IFERROR(AVERAGEIFS('Sources - Observations (Berlin)'!$C$5:$C$314,'Sources - Observations (Berlin)'!$A$5:$A$314,$A111,'Sources - Observations (Berlin)'!$B$5:$B$314,$B111),"")</f>
        <v>2250</v>
      </c>
      <c r="H111" s="106" t="s">
        <v>295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104" t="s">
        <v>59</v>
      </c>
      <c r="B112" s="21">
        <v>2002.0</v>
      </c>
      <c r="C112" s="24">
        <f t="array" ref="C112">IFERROR(AVERAGEIFS('Sources - Observations (Berlin)'!$C$5:$C$314,'Sources - Observations (Berlin)'!$A$5:$A$314,$A112,'Sources - Observations (Berlin)'!$B$5:$B$314,$B112,'Sources - Observations (Berlin)'!$D$5:$D$314,"press"),"")</f>
        <v>4000</v>
      </c>
      <c r="D112" s="109" t="str">
        <f t="array" ref="D112">IFERROR(AVERAGEIFS('Sources - Observations (Berlin)'!$C$5:$C$314,'Sources - Observations (Berlin)'!$A$5:$A$314,$A112,'Sources - Observations (Berlin)'!$B$5:$B$314,$B112,'Sources - Observations (Berlin)'!$D$5:$D$314,"organisers"),"")</f>
        <v/>
      </c>
      <c r="E112" s="109" t="str">
        <f t="array" ref="E112">IFERROR(AVERAGEIFS('Sources - Observations (Berlin)'!$C$5:$C$314,'Sources - Observations (Berlin)'!$A$5:$A$314,$A112,'Sources - Observations (Berlin)'!$B$5:$B$314,$B112,'Sources - Observations (Berlin)'!$D$5:$D$314,"police"),"")</f>
        <v/>
      </c>
      <c r="F112" s="21">
        <f t="array" ref="F112">COUNTIFS('Sources - Observations (Berlin)'!$A$5:$A$314,$A112,'Sources - Observations (Berlin)'!$B$5:$B$314,$B112)</f>
        <v>1</v>
      </c>
      <c r="G112" s="41">
        <f t="array" ref="G112">IFERROR(AVERAGEIFS('Sources - Observations (Berlin)'!$C$5:$C$314,'Sources - Observations (Berlin)'!$A$5:$A$314,$A112,'Sources - Observations (Berlin)'!$B$5:$B$314,$B112),"")</f>
        <v>4000</v>
      </c>
      <c r="H112" s="106" t="s">
        <v>295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104" t="s">
        <v>59</v>
      </c>
      <c r="B113" s="21">
        <v>2003.0</v>
      </c>
      <c r="C113" s="24">
        <f t="array" ref="C113">IFERROR(AVERAGEIFS('Sources - Observations (Berlin)'!$C$5:$C$314,'Sources - Observations (Berlin)'!$A$5:$A$314,$A113,'Sources - Observations (Berlin)'!$B$5:$B$314,$B113,'Sources - Observations (Berlin)'!$D$5:$D$314,"press"),"")</f>
        <v>10000</v>
      </c>
      <c r="D113" s="109" t="str">
        <f t="array" ref="D113">IFERROR(AVERAGEIFS('Sources - Observations (Berlin)'!$C$5:$C$314,'Sources - Observations (Berlin)'!$A$5:$A$314,$A113,'Sources - Observations (Berlin)'!$B$5:$B$314,$B113,'Sources - Observations (Berlin)'!$D$5:$D$314,"organisers"),"")</f>
        <v/>
      </c>
      <c r="E113" s="24">
        <f t="array" ref="E113">IFERROR(AVERAGEIFS('Sources - Observations (Berlin)'!$C$5:$C$314,'Sources - Observations (Berlin)'!$A$5:$A$314,$A113,'Sources - Observations (Berlin)'!$B$5:$B$314,$B113,'Sources - Observations (Berlin)'!$D$5:$D$314,"police"),"")</f>
        <v>3500</v>
      </c>
      <c r="F113" s="21">
        <f t="array" ref="F113">COUNTIFS('Sources - Observations (Berlin)'!$A$5:$A$314,$A113,'Sources - Observations (Berlin)'!$B$5:$B$314,$B113)</f>
        <v>2</v>
      </c>
      <c r="G113" s="41">
        <f t="array" ref="G113">IFERROR(AVERAGEIFS('Sources - Observations (Berlin)'!$C$5:$C$314,'Sources - Observations (Berlin)'!$A$5:$A$314,$A113,'Sources - Observations (Berlin)'!$B$5:$B$314,$B113),"")</f>
        <v>6750</v>
      </c>
      <c r="H113" s="106" t="s">
        <v>295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104" t="s">
        <v>59</v>
      </c>
      <c r="B114" s="21">
        <v>2004.0</v>
      </c>
      <c r="C114" s="24">
        <f t="array" ref="C114">IFERROR(AVERAGEIFS('Sources - Observations (Berlin)'!$C$5:$C$314,'Sources - Observations (Berlin)'!$A$5:$A$314,$A114,'Sources - Observations (Berlin)'!$B$5:$B$314,$B114,'Sources - Observations (Berlin)'!$D$5:$D$314,"press"),"")</f>
        <v>5000</v>
      </c>
      <c r="D114" s="109" t="str">
        <f t="array" ref="D114">IFERROR(AVERAGEIFS('Sources - Observations (Berlin)'!$C$5:$C$314,'Sources - Observations (Berlin)'!$A$5:$A$314,$A114,'Sources - Observations (Berlin)'!$B$5:$B$314,$B114,'Sources - Observations (Berlin)'!$D$5:$D$314,"organisers"),"")</f>
        <v/>
      </c>
      <c r="E114" s="109" t="str">
        <f t="array" ref="E114">IFERROR(AVERAGEIFS('Sources - Observations (Berlin)'!$C$5:$C$314,'Sources - Observations (Berlin)'!$A$5:$A$314,$A114,'Sources - Observations (Berlin)'!$B$5:$B$314,$B114,'Sources - Observations (Berlin)'!$D$5:$D$314,"police"),"")</f>
        <v/>
      </c>
      <c r="F114" s="21">
        <f t="array" ref="F114">COUNTIFS('Sources - Observations (Berlin)'!$A$5:$A$314,$A114,'Sources - Observations (Berlin)'!$B$5:$B$314,$B114)</f>
        <v>1</v>
      </c>
      <c r="G114" s="41">
        <f t="array" ref="G114">IFERROR(AVERAGEIFS('Sources - Observations (Berlin)'!$C$5:$C$314,'Sources - Observations (Berlin)'!$A$5:$A$314,$A114,'Sources - Observations (Berlin)'!$B$5:$B$314,$B114),"")</f>
        <v>5000</v>
      </c>
      <c r="H114" s="106" t="s">
        <v>295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104" t="s">
        <v>59</v>
      </c>
      <c r="B115" s="21">
        <v>2005.0</v>
      </c>
      <c r="C115" s="24">
        <f t="array" ref="C115">IFERROR(AVERAGEIFS('Sources - Observations (Berlin)'!$C$5:$C$314,'Sources - Observations (Berlin)'!$A$5:$A$314,$A115,'Sources - Observations (Berlin)'!$B$5:$B$314,$B115,'Sources - Observations (Berlin)'!$D$5:$D$314,"press"),"")</f>
        <v>500</v>
      </c>
      <c r="D115" s="109" t="str">
        <f t="array" ref="D115">IFERROR(AVERAGEIFS('Sources - Observations (Berlin)'!$C$5:$C$314,'Sources - Observations (Berlin)'!$A$5:$A$314,$A115,'Sources - Observations (Berlin)'!$B$5:$B$314,$B115,'Sources - Observations (Berlin)'!$D$5:$D$314,"organisers"),"")</f>
        <v/>
      </c>
      <c r="E115" s="109" t="str">
        <f t="array" ref="E115">IFERROR(AVERAGEIFS('Sources - Observations (Berlin)'!$C$5:$C$314,'Sources - Observations (Berlin)'!$A$5:$A$314,$A115,'Sources - Observations (Berlin)'!$B$5:$B$314,$B115,'Sources - Observations (Berlin)'!$D$5:$D$314,"police"),"")</f>
        <v/>
      </c>
      <c r="F115" s="21">
        <f t="array" ref="F115">COUNTIFS('Sources - Observations (Berlin)'!$A$5:$A$314,$A115,'Sources - Observations (Berlin)'!$B$5:$B$314,$B115)</f>
        <v>1</v>
      </c>
      <c r="G115" s="41">
        <f t="array" ref="G115">IFERROR(AVERAGEIFS('Sources - Observations (Berlin)'!$C$5:$C$314,'Sources - Observations (Berlin)'!$A$5:$A$314,$A115,'Sources - Observations (Berlin)'!$B$5:$B$314,$B115),"")</f>
        <v>500</v>
      </c>
      <c r="H115" s="106" t="s">
        <v>295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104" t="s">
        <v>59</v>
      </c>
      <c r="B116" s="21">
        <v>2006.0</v>
      </c>
      <c r="C116" s="24">
        <f t="array" ref="C116">IFERROR(AVERAGEIFS('Sources - Observations (Berlin)'!$C$5:$C$314,'Sources - Observations (Berlin)'!$A$5:$A$314,$A116,'Sources - Observations (Berlin)'!$B$5:$B$314,$B116,'Sources - Observations (Berlin)'!$D$5:$D$314,"press"),"")</f>
        <v>50</v>
      </c>
      <c r="D116" s="109" t="str">
        <f t="array" ref="D116">IFERROR(AVERAGEIFS('Sources - Observations (Berlin)'!$C$5:$C$314,'Sources - Observations (Berlin)'!$A$5:$A$314,$A116,'Sources - Observations (Berlin)'!$B$5:$B$314,$B116,'Sources - Observations (Berlin)'!$D$5:$D$314,"organisers"),"")</f>
        <v/>
      </c>
      <c r="E116" s="109" t="str">
        <f t="array" ref="E116">IFERROR(AVERAGEIFS('Sources - Observations (Berlin)'!$C$5:$C$314,'Sources - Observations (Berlin)'!$A$5:$A$314,$A116,'Sources - Observations (Berlin)'!$B$5:$B$314,$B116,'Sources - Observations (Berlin)'!$D$5:$D$314,"police"),"")</f>
        <v/>
      </c>
      <c r="F116" s="21">
        <f t="array" ref="F116">COUNTIFS('Sources - Observations (Berlin)'!$A$5:$A$314,$A116,'Sources - Observations (Berlin)'!$B$5:$B$314,$B116)</f>
        <v>1</v>
      </c>
      <c r="G116" s="41">
        <f t="array" ref="G116">IFERROR(AVERAGEIFS('Sources - Observations (Berlin)'!$C$5:$C$314,'Sources - Observations (Berlin)'!$A$5:$A$314,$A116,'Sources - Observations (Berlin)'!$B$5:$B$314,$B116),"")</f>
        <v>50</v>
      </c>
      <c r="H116" s="106" t="s">
        <v>295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104" t="s">
        <v>59</v>
      </c>
      <c r="B117" s="21">
        <v>2007.0</v>
      </c>
      <c r="C117" s="24">
        <f t="array" ref="C117">IFERROR(AVERAGEIFS('Sources - Observations (Berlin)'!$C$5:$C$314,'Sources - Observations (Berlin)'!$A$5:$A$314,$A117,'Sources - Observations (Berlin)'!$B$5:$B$314,$B117,'Sources - Observations (Berlin)'!$D$5:$D$314,"press"),"")</f>
        <v>900</v>
      </c>
      <c r="D117" s="109" t="str">
        <f t="array" ref="D117">IFERROR(AVERAGEIFS('Sources - Observations (Berlin)'!$C$5:$C$314,'Sources - Observations (Berlin)'!$A$5:$A$314,$A117,'Sources - Observations (Berlin)'!$B$5:$B$314,$B117,'Sources - Observations (Berlin)'!$D$5:$D$314,"organisers"),"")</f>
        <v/>
      </c>
      <c r="E117" s="109" t="str">
        <f t="array" ref="E117">IFERROR(AVERAGEIFS('Sources - Observations (Berlin)'!$C$5:$C$314,'Sources - Observations (Berlin)'!$A$5:$A$314,$A117,'Sources - Observations (Berlin)'!$B$5:$B$314,$B117,'Sources - Observations (Berlin)'!$D$5:$D$314,"police"),"")</f>
        <v/>
      </c>
      <c r="F117" s="21">
        <f t="array" ref="F117">COUNTIFS('Sources - Observations (Berlin)'!$A$5:$A$314,$A117,'Sources - Observations (Berlin)'!$B$5:$B$314,$B117)</f>
        <v>2</v>
      </c>
      <c r="G117" s="41">
        <f t="array" ref="G117">IFERROR(AVERAGEIFS('Sources - Observations (Berlin)'!$C$5:$C$314,'Sources - Observations (Berlin)'!$A$5:$A$314,$A117,'Sources - Observations (Berlin)'!$B$5:$B$314,$B117),"")</f>
        <v>900</v>
      </c>
      <c r="H117" s="106" t="s">
        <v>295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104" t="s">
        <v>59</v>
      </c>
      <c r="B118" s="21">
        <v>2008.0</v>
      </c>
      <c r="C118" s="24">
        <f t="array" ref="C118">IFERROR(AVERAGEIFS('Sources - Observations (Berlin)'!$C$5:$C$314,'Sources - Observations (Berlin)'!$A$5:$A$314,$A118,'Sources - Observations (Berlin)'!$B$5:$B$314,$B118,'Sources - Observations (Berlin)'!$D$5:$D$314,"press"),"")</f>
        <v>300</v>
      </c>
      <c r="D118" s="109" t="str">
        <f t="array" ref="D118">IFERROR(AVERAGEIFS('Sources - Observations (Berlin)'!$C$5:$C$314,'Sources - Observations (Berlin)'!$A$5:$A$314,$A118,'Sources - Observations (Berlin)'!$B$5:$B$314,$B118,'Sources - Observations (Berlin)'!$D$5:$D$314,"organisers"),"")</f>
        <v/>
      </c>
      <c r="E118" s="109" t="str">
        <f t="array" ref="E118">IFERROR(AVERAGEIFS('Sources - Observations (Berlin)'!$C$5:$C$314,'Sources - Observations (Berlin)'!$A$5:$A$314,$A118,'Sources - Observations (Berlin)'!$B$5:$B$314,$B118,'Sources - Observations (Berlin)'!$D$5:$D$314,"police"),"")</f>
        <v/>
      </c>
      <c r="F118" s="21">
        <f t="array" ref="F118">COUNTIFS('Sources - Observations (Berlin)'!$A$5:$A$314,$A118,'Sources - Observations (Berlin)'!$B$5:$B$314,$B118)</f>
        <v>1</v>
      </c>
      <c r="G118" s="41">
        <f t="array" ref="G118">IFERROR(AVERAGEIFS('Sources - Observations (Berlin)'!$C$5:$C$314,'Sources - Observations (Berlin)'!$A$5:$A$314,$A118,'Sources - Observations (Berlin)'!$B$5:$B$314,$B118),"")</f>
        <v>300</v>
      </c>
      <c r="H118" s="106" t="s">
        <v>295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104" t="s">
        <v>59</v>
      </c>
      <c r="B119" s="21">
        <v>2009.0</v>
      </c>
      <c r="C119" s="24">
        <f t="array" ref="C119">IFERROR(AVERAGEIFS('Sources - Observations (Berlin)'!$C$5:$C$314,'Sources - Observations (Berlin)'!$A$5:$A$314,$A119,'Sources - Observations (Berlin)'!$B$5:$B$314,$B119,'Sources - Observations (Berlin)'!$D$5:$D$314,"press"),"")</f>
        <v>300</v>
      </c>
      <c r="D119" s="109" t="str">
        <f t="array" ref="D119">IFERROR(AVERAGEIFS('Sources - Observations (Berlin)'!$C$5:$C$314,'Sources - Observations (Berlin)'!$A$5:$A$314,$A119,'Sources - Observations (Berlin)'!$B$5:$B$314,$B119,'Sources - Observations (Berlin)'!$D$5:$D$314,"organisers"),"")</f>
        <v/>
      </c>
      <c r="E119" s="109" t="str">
        <f t="array" ref="E119">IFERROR(AVERAGEIFS('Sources - Observations (Berlin)'!$C$5:$C$314,'Sources - Observations (Berlin)'!$A$5:$A$314,$A119,'Sources - Observations (Berlin)'!$B$5:$B$314,$B119,'Sources - Observations (Berlin)'!$D$5:$D$314,"police"),"")</f>
        <v/>
      </c>
      <c r="F119" s="21">
        <f t="array" ref="F119">COUNTIFS('Sources - Observations (Berlin)'!$A$5:$A$314,$A119,'Sources - Observations (Berlin)'!$B$5:$B$314,$B119)</f>
        <v>1</v>
      </c>
      <c r="G119" s="41">
        <f t="array" ref="G119">IFERROR(AVERAGEIFS('Sources - Observations (Berlin)'!$C$5:$C$314,'Sources - Observations (Berlin)'!$A$5:$A$314,$A119,'Sources - Observations (Berlin)'!$B$5:$B$314,$B119),"")</f>
        <v>300</v>
      </c>
      <c r="H119" s="106" t="s">
        <v>295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104" t="s">
        <v>59</v>
      </c>
      <c r="B120" s="21">
        <v>2010.0</v>
      </c>
      <c r="C120" s="24">
        <f t="array" ref="C120">IFERROR(AVERAGEIFS('Sources - Observations (Berlin)'!$C$5:$C$314,'Sources - Observations (Berlin)'!$A$5:$A$314,$A120,'Sources - Observations (Berlin)'!$B$5:$B$314,$B120,'Sources - Observations (Berlin)'!$D$5:$D$314,"press"),"")</f>
        <v>50</v>
      </c>
      <c r="D120" s="109" t="str">
        <f t="array" ref="D120">IFERROR(AVERAGEIFS('Sources - Observations (Berlin)'!$C$5:$C$314,'Sources - Observations (Berlin)'!$A$5:$A$314,$A120,'Sources - Observations (Berlin)'!$B$5:$B$314,$B120,'Sources - Observations (Berlin)'!$D$5:$D$314,"organisers"),"")</f>
        <v/>
      </c>
      <c r="E120" s="109" t="str">
        <f t="array" ref="E120">IFERROR(AVERAGEIFS('Sources - Observations (Berlin)'!$C$5:$C$314,'Sources - Observations (Berlin)'!$A$5:$A$314,$A120,'Sources - Observations (Berlin)'!$B$5:$B$314,$B120,'Sources - Observations (Berlin)'!$D$5:$D$314,"police"),"")</f>
        <v/>
      </c>
      <c r="F120" s="21">
        <f t="array" ref="F120">COUNTIFS('Sources - Observations (Berlin)'!$A$5:$A$314,$A120,'Sources - Observations (Berlin)'!$B$5:$B$314,$B120)</f>
        <v>1</v>
      </c>
      <c r="G120" s="41">
        <f t="array" ref="G120">IFERROR(AVERAGEIFS('Sources - Observations (Berlin)'!$C$5:$C$314,'Sources - Observations (Berlin)'!$A$5:$A$314,$A120,'Sources - Observations (Berlin)'!$B$5:$B$314,$B120),"")</f>
        <v>50</v>
      </c>
      <c r="H120" s="106" t="s">
        <v>295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104" t="s">
        <v>59</v>
      </c>
      <c r="B121" s="21">
        <v>2016.0</v>
      </c>
      <c r="C121" s="24">
        <f t="array" ref="C121">IFERROR(AVERAGEIFS('Sources - Observations (Berlin)'!$C$5:$C$314,'Sources - Observations (Berlin)'!$A$5:$A$314,$A121,'Sources - Observations (Berlin)'!$B$5:$B$314,$B121,'Sources - Observations (Berlin)'!$D$5:$D$314,"press"),"")</f>
        <v>250</v>
      </c>
      <c r="D121" s="109" t="str">
        <f t="array" ref="D121">IFERROR(AVERAGEIFS('Sources - Observations (Berlin)'!$C$5:$C$314,'Sources - Observations (Berlin)'!$A$5:$A$314,$A121,'Sources - Observations (Berlin)'!$B$5:$B$314,$B121,'Sources - Observations (Berlin)'!$D$5:$D$314,"organisers"),"")</f>
        <v/>
      </c>
      <c r="E121" s="109" t="str">
        <f t="array" ref="E121">IFERROR(AVERAGEIFS('Sources - Observations (Berlin)'!$C$5:$C$314,'Sources - Observations (Berlin)'!$A$5:$A$314,$A121,'Sources - Observations (Berlin)'!$B$5:$B$314,$B121,'Sources - Observations (Berlin)'!$D$5:$D$314,"police"),"")</f>
        <v/>
      </c>
      <c r="F121" s="21">
        <f t="array" ref="F121">COUNTIFS('Sources - Observations (Berlin)'!$A$5:$A$314,$A121,'Sources - Observations (Berlin)'!$B$5:$B$314,$B121)</f>
        <v>1</v>
      </c>
      <c r="G121" s="41">
        <f t="array" ref="G121">IFERROR(AVERAGEIFS('Sources - Observations (Berlin)'!$C$5:$C$314,'Sources - Observations (Berlin)'!$A$5:$A$314,$A121,'Sources - Observations (Berlin)'!$B$5:$B$314,$B121),"")</f>
        <v>250</v>
      </c>
      <c r="H121" s="106" t="s">
        <v>295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104" t="s">
        <v>59</v>
      </c>
      <c r="B122" s="21">
        <v>2017.0</v>
      </c>
      <c r="C122" s="109" t="str">
        <f t="array" ref="C122">IFERROR(AVERAGEIFS('Sources - Observations (Berlin)'!$C$5:$C$314,'Sources - Observations (Berlin)'!$A$5:$A$314,$A122,'Sources - Observations (Berlin)'!$B$5:$B$314,$B122,'Sources - Observations (Berlin)'!$D$5:$D$314,"press"),"")</f>
        <v/>
      </c>
      <c r="D122" s="24">
        <f t="array" ref="D122">IFERROR(AVERAGEIFS('Sources - Observations (Berlin)'!$C$5:$C$314,'Sources - Observations (Berlin)'!$A$5:$A$314,$A122,'Sources - Observations (Berlin)'!$B$5:$B$314,$B122,'Sources - Observations (Berlin)'!$D$5:$D$314,"organisers"),"")</f>
        <v>250</v>
      </c>
      <c r="E122" s="109" t="str">
        <f t="array" ref="E122">IFERROR(AVERAGEIFS('Sources - Observations (Berlin)'!$C$5:$C$314,'Sources - Observations (Berlin)'!$A$5:$A$314,$A122,'Sources - Observations (Berlin)'!$B$5:$B$314,$B122,'Sources - Observations (Berlin)'!$D$5:$D$314,"police"),"")</f>
        <v/>
      </c>
      <c r="F122" s="21">
        <f t="array" ref="F122">COUNTIFS('Sources - Observations (Berlin)'!$A$5:$A$314,$A122,'Sources - Observations (Berlin)'!$B$5:$B$314,$B122)</f>
        <v>1</v>
      </c>
      <c r="G122" s="41">
        <f t="array" ref="G122">IFERROR(AVERAGEIFS('Sources - Observations (Berlin)'!$C$5:$C$314,'Sources - Observations (Berlin)'!$A$5:$A$314,$A122,'Sources - Observations (Berlin)'!$B$5:$B$314,$B122),"")</f>
        <v>250</v>
      </c>
      <c r="H122" s="106" t="s">
        <v>295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104" t="s">
        <v>59</v>
      </c>
      <c r="B123" s="21">
        <v>2018.0</v>
      </c>
      <c r="C123" s="109" t="str">
        <f t="array" ref="C123">IFERROR(AVERAGEIFS('Sources - Observations (Berlin)'!$C$5:$C$314,'Sources - Observations (Berlin)'!$A$5:$A$314,$A123,'Sources - Observations (Berlin)'!$B$5:$B$314,$B123,'Sources - Observations (Berlin)'!$D$5:$D$314,"press"),"")</f>
        <v/>
      </c>
      <c r="D123" s="24">
        <f t="array" ref="D123">IFERROR(AVERAGEIFS('Sources - Observations (Berlin)'!$C$5:$C$314,'Sources - Observations (Berlin)'!$A$5:$A$314,$A123,'Sources - Observations (Berlin)'!$B$5:$B$314,$B123,'Sources - Observations (Berlin)'!$D$5:$D$314,"organisers"),"")</f>
        <v>200</v>
      </c>
      <c r="E123" s="109" t="str">
        <f t="array" ref="E123">IFERROR(AVERAGEIFS('Sources - Observations (Berlin)'!$C$5:$C$314,'Sources - Observations (Berlin)'!$A$5:$A$314,$A123,'Sources - Observations (Berlin)'!$B$5:$B$314,$B123,'Sources - Observations (Berlin)'!$D$5:$D$314,"police"),"")</f>
        <v/>
      </c>
      <c r="F123" s="21">
        <f t="array" ref="F123">COUNTIFS('Sources - Observations (Berlin)'!$A$5:$A$314,$A123,'Sources - Observations (Berlin)'!$B$5:$B$314,$B123)</f>
        <v>1</v>
      </c>
      <c r="G123" s="41">
        <f t="array" ref="G123">IFERROR(AVERAGEIFS('Sources - Observations (Berlin)'!$C$5:$C$314,'Sources - Observations (Berlin)'!$A$5:$A$314,$A123,'Sources - Observations (Berlin)'!$B$5:$B$314,$B123),"")</f>
        <v>200</v>
      </c>
      <c r="H123" s="106" t="s">
        <v>295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104" t="s">
        <v>59</v>
      </c>
      <c r="B124" s="21">
        <v>2019.0</v>
      </c>
      <c r="C124" s="109" t="str">
        <f t="array" ref="C124">IFERROR(AVERAGEIFS('Sources - Observations (Berlin)'!$C$5:$C$314,'Sources - Observations (Berlin)'!$A$5:$A$314,$A124,'Sources - Observations (Berlin)'!$B$5:$B$314,$B124,'Sources - Observations (Berlin)'!$D$5:$D$314,"press"),"")</f>
        <v/>
      </c>
      <c r="D124" s="24">
        <f t="array" ref="D124">IFERROR(AVERAGEIFS('Sources - Observations (Berlin)'!$C$5:$C$314,'Sources - Observations (Berlin)'!$A$5:$A$314,$A124,'Sources - Observations (Berlin)'!$B$5:$B$314,$B124,'Sources - Observations (Berlin)'!$D$5:$D$314,"organisers"),"")</f>
        <v>200</v>
      </c>
      <c r="E124" s="109" t="str">
        <f t="array" ref="E124">IFERROR(AVERAGEIFS('Sources - Observations (Berlin)'!$C$5:$C$314,'Sources - Observations (Berlin)'!$A$5:$A$314,$A124,'Sources - Observations (Berlin)'!$B$5:$B$314,$B124,'Sources - Observations (Berlin)'!$D$5:$D$314,"police"),"")</f>
        <v/>
      </c>
      <c r="F124" s="21">
        <f t="array" ref="F124">COUNTIFS('Sources - Observations (Berlin)'!$A$5:$A$314,$A124,'Sources - Observations (Berlin)'!$B$5:$B$314,$B124)</f>
        <v>1</v>
      </c>
      <c r="G124" s="41">
        <f t="array" ref="G124">IFERROR(AVERAGEIFS('Sources - Observations (Berlin)'!$C$5:$C$314,'Sources - Observations (Berlin)'!$A$5:$A$314,$A124,'Sources - Observations (Berlin)'!$B$5:$B$314,$B124),"")</f>
        <v>200</v>
      </c>
      <c r="H124" s="106" t="s">
        <v>295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104" t="s">
        <v>58</v>
      </c>
      <c r="B125" s="21">
        <v>1996.0</v>
      </c>
      <c r="C125" s="24">
        <f t="array" ref="C125">IFERROR(AVERAGEIFS('Sources - Observations (Berlin)'!$C$5:$C$314,'Sources - Observations (Berlin)'!$A$5:$A$314,$A125,'Sources - Observations (Berlin)'!$B$5:$B$314,$B125,'Sources - Observations (Berlin)'!$D$5:$D$314,"press"),"")</f>
        <v>10000</v>
      </c>
      <c r="D125" s="109" t="str">
        <f t="array" ref="D125">IFERROR(AVERAGEIFS('Sources - Observations (Berlin)'!$C$5:$C$314,'Sources - Observations (Berlin)'!$A$5:$A$314,$A125,'Sources - Observations (Berlin)'!$B$5:$B$314,$B125,'Sources - Observations (Berlin)'!$D$5:$D$314,"organisers"),"")</f>
        <v/>
      </c>
      <c r="E125" s="109" t="str">
        <f t="array" ref="E125">IFERROR(AVERAGEIFS('Sources - Observations (Berlin)'!$C$5:$C$314,'Sources - Observations (Berlin)'!$A$5:$A$314,$A125,'Sources - Observations (Berlin)'!$B$5:$B$314,$B125,'Sources - Observations (Berlin)'!$D$5:$D$314,"police"),"")</f>
        <v/>
      </c>
      <c r="F125" s="21">
        <f t="array" ref="F125">COUNTIFS('Sources - Observations (Berlin)'!$A$5:$A$314,$A125,'Sources - Observations (Berlin)'!$B$5:$B$314,$B125)</f>
        <v>1</v>
      </c>
      <c r="G125" s="41">
        <f t="array" ref="G125">IFERROR(AVERAGEIFS('Sources - Observations (Berlin)'!$C$5:$C$314,'Sources - Observations (Berlin)'!$A$5:$A$314,$A125,'Sources - Observations (Berlin)'!$B$5:$B$314,$B125),"")</f>
        <v>10000</v>
      </c>
      <c r="H125" s="106" t="s">
        <v>295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104" t="s">
        <v>58</v>
      </c>
      <c r="B126" s="21">
        <v>1997.0</v>
      </c>
      <c r="C126" s="24">
        <f t="array" ref="C126">IFERROR(AVERAGEIFS('Sources - Observations (Berlin)'!$C$5:$C$314,'Sources - Observations (Berlin)'!$A$5:$A$314,$A126,'Sources - Observations (Berlin)'!$B$5:$B$314,$B126,'Sources - Observations (Berlin)'!$D$5:$D$314,"press"),"")</f>
        <v>9000</v>
      </c>
      <c r="D126" s="109" t="str">
        <f t="array" ref="D126">IFERROR(AVERAGEIFS('Sources - Observations (Berlin)'!$C$5:$C$314,'Sources - Observations (Berlin)'!$A$5:$A$314,$A126,'Sources - Observations (Berlin)'!$B$5:$B$314,$B126,'Sources - Observations (Berlin)'!$D$5:$D$314,"organisers"),"")</f>
        <v/>
      </c>
      <c r="E126" s="109" t="str">
        <f t="array" ref="E126">IFERROR(AVERAGEIFS('Sources - Observations (Berlin)'!$C$5:$C$314,'Sources - Observations (Berlin)'!$A$5:$A$314,$A126,'Sources - Observations (Berlin)'!$B$5:$B$314,$B126,'Sources - Observations (Berlin)'!$D$5:$D$314,"police"),"")</f>
        <v/>
      </c>
      <c r="F126" s="21">
        <f t="array" ref="F126">COUNTIFS('Sources - Observations (Berlin)'!$A$5:$A$314,$A126,'Sources - Observations (Berlin)'!$B$5:$B$314,$B126)</f>
        <v>1</v>
      </c>
      <c r="G126" s="41">
        <f t="array" ref="G126">IFERROR(AVERAGEIFS('Sources - Observations (Berlin)'!$C$5:$C$314,'Sources - Observations (Berlin)'!$A$5:$A$314,$A126,'Sources - Observations (Berlin)'!$B$5:$B$314,$B126),"")</f>
        <v>9000</v>
      </c>
      <c r="H126" s="106" t="s">
        <v>295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104" t="s">
        <v>58</v>
      </c>
      <c r="B127" s="21">
        <v>1998.0</v>
      </c>
      <c r="C127" s="24">
        <f t="array" ref="C127">IFERROR(AVERAGEIFS('Sources - Observations (Berlin)'!$C$5:$C$314,'Sources - Observations (Berlin)'!$A$5:$A$314,$A127,'Sources - Observations (Berlin)'!$B$5:$B$314,$B127,'Sources - Observations (Berlin)'!$D$5:$D$314,"press"),"")</f>
        <v>3000</v>
      </c>
      <c r="D127" s="24">
        <f t="array" ref="D127">IFERROR(AVERAGEIFS('Sources - Observations (Berlin)'!$C$5:$C$314,'Sources - Observations (Berlin)'!$A$5:$A$314,$A127,'Sources - Observations (Berlin)'!$B$5:$B$314,$B127,'Sources - Observations (Berlin)'!$D$5:$D$314,"organisers"),"")</f>
        <v>11000</v>
      </c>
      <c r="E127" s="24">
        <f t="array" ref="E127">IFERROR(AVERAGEIFS('Sources - Observations (Berlin)'!$C$5:$C$314,'Sources - Observations (Berlin)'!$A$5:$A$314,$A127,'Sources - Observations (Berlin)'!$B$5:$B$314,$B127,'Sources - Observations (Berlin)'!$D$5:$D$314,"police"),"")</f>
        <v>6000</v>
      </c>
      <c r="F127" s="21">
        <f t="array" ref="F127">COUNTIFS('Sources - Observations (Berlin)'!$A$5:$A$314,$A127,'Sources - Observations (Berlin)'!$B$5:$B$314,$B127)</f>
        <v>3</v>
      </c>
      <c r="G127" s="41">
        <f t="array" ref="G127">IFERROR(AVERAGEIFS('Sources - Observations (Berlin)'!$C$5:$C$314,'Sources - Observations (Berlin)'!$A$5:$A$314,$A127,'Sources - Observations (Berlin)'!$B$5:$B$314,$B127),"")</f>
        <v>6666.666667</v>
      </c>
      <c r="H127" s="106" t="s">
        <v>295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104" t="s">
        <v>58</v>
      </c>
      <c r="B128" s="21">
        <v>1999.0</v>
      </c>
      <c r="C128" s="24">
        <f t="array" ref="C128">IFERROR(AVERAGEIFS('Sources - Observations (Berlin)'!$C$5:$C$314,'Sources - Observations (Berlin)'!$A$5:$A$314,$A128,'Sources - Observations (Berlin)'!$B$5:$B$314,$B128,'Sources - Observations (Berlin)'!$D$5:$D$314,"press"),"")</f>
        <v>14000</v>
      </c>
      <c r="D128" s="109" t="str">
        <f t="array" ref="D128">IFERROR(AVERAGEIFS('Sources - Observations (Berlin)'!$C$5:$C$314,'Sources - Observations (Berlin)'!$A$5:$A$314,$A128,'Sources - Observations (Berlin)'!$B$5:$B$314,$B128,'Sources - Observations (Berlin)'!$D$5:$D$314,"organisers"),"")</f>
        <v/>
      </c>
      <c r="E128" s="109" t="str">
        <f t="array" ref="E128">IFERROR(AVERAGEIFS('Sources - Observations (Berlin)'!$C$5:$C$314,'Sources - Observations (Berlin)'!$A$5:$A$314,$A128,'Sources - Observations (Berlin)'!$B$5:$B$314,$B128,'Sources - Observations (Berlin)'!$D$5:$D$314,"police"),"")</f>
        <v/>
      </c>
      <c r="F128" s="21">
        <f t="array" ref="F128">COUNTIFS('Sources - Observations (Berlin)'!$A$5:$A$314,$A128,'Sources - Observations (Berlin)'!$B$5:$B$314,$B128)</f>
        <v>3</v>
      </c>
      <c r="G128" s="41">
        <f t="array" ref="G128">IFERROR(AVERAGEIFS('Sources - Observations (Berlin)'!$C$5:$C$314,'Sources - Observations (Berlin)'!$A$5:$A$314,$A128,'Sources - Observations (Berlin)'!$B$5:$B$314,$B128),"")</f>
        <v>14000</v>
      </c>
      <c r="H128" s="106" t="s">
        <v>295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104" t="s">
        <v>58</v>
      </c>
      <c r="B129" s="21">
        <v>2000.0</v>
      </c>
      <c r="C129" s="24">
        <f t="array" ref="C129">IFERROR(AVERAGEIFS('Sources - Observations (Berlin)'!$C$5:$C$314,'Sources - Observations (Berlin)'!$A$5:$A$314,$A129,'Sources - Observations (Berlin)'!$B$5:$B$314,$B129,'Sources - Observations (Berlin)'!$D$5:$D$314,"press"),"")</f>
        <v>15000</v>
      </c>
      <c r="D129" s="24">
        <f t="array" ref="D129">IFERROR(AVERAGEIFS('Sources - Observations (Berlin)'!$C$5:$C$314,'Sources - Observations (Berlin)'!$A$5:$A$314,$A129,'Sources - Observations (Berlin)'!$B$5:$B$314,$B129,'Sources - Observations (Berlin)'!$D$5:$D$314,"organisers"),"")</f>
        <v>20000</v>
      </c>
      <c r="E129" s="24">
        <f t="array" ref="E129">IFERROR(AVERAGEIFS('Sources - Observations (Berlin)'!$C$5:$C$314,'Sources - Observations (Berlin)'!$A$5:$A$314,$A129,'Sources - Observations (Berlin)'!$B$5:$B$314,$B129,'Sources - Observations (Berlin)'!$D$5:$D$314,"police"),"")</f>
        <v>5000</v>
      </c>
      <c r="F129" s="21">
        <f t="array" ref="F129">COUNTIFS('Sources - Observations (Berlin)'!$A$5:$A$314,$A129,'Sources - Observations (Berlin)'!$B$5:$B$314,$B129)</f>
        <v>3</v>
      </c>
      <c r="G129" s="41">
        <f t="array" ref="G129">IFERROR(AVERAGEIFS('Sources - Observations (Berlin)'!$C$5:$C$314,'Sources - Observations (Berlin)'!$A$5:$A$314,$A129,'Sources - Observations (Berlin)'!$B$5:$B$314,$B129),"")</f>
        <v>13333.33333</v>
      </c>
      <c r="H129" s="106" t="s">
        <v>295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104" t="s">
        <v>58</v>
      </c>
      <c r="B130" s="21">
        <v>2001.0</v>
      </c>
      <c r="C130" s="24">
        <f t="array" ref="C130">IFERROR(AVERAGEIFS('Sources - Observations (Berlin)'!$C$5:$C$314,'Sources - Observations (Berlin)'!$A$5:$A$314,$A130,'Sources - Observations (Berlin)'!$B$5:$B$314,$B130,'Sources - Observations (Berlin)'!$D$5:$D$314,"press"),"")</f>
        <v>5500</v>
      </c>
      <c r="D130" s="109" t="str">
        <f t="array" ref="D130">IFERROR(AVERAGEIFS('Sources - Observations (Berlin)'!$C$5:$C$314,'Sources - Observations (Berlin)'!$A$5:$A$314,$A130,'Sources - Observations (Berlin)'!$B$5:$B$314,$B130,'Sources - Observations (Berlin)'!$D$5:$D$314,"organisers"),"")</f>
        <v/>
      </c>
      <c r="E130" s="109" t="str">
        <f t="array" ref="E130">IFERROR(AVERAGEIFS('Sources - Observations (Berlin)'!$C$5:$C$314,'Sources - Observations (Berlin)'!$A$5:$A$314,$A130,'Sources - Observations (Berlin)'!$B$5:$B$314,$B130,'Sources - Observations (Berlin)'!$D$5:$D$314,"police"),"")</f>
        <v/>
      </c>
      <c r="F130" s="21">
        <f t="array" ref="F130">COUNTIFS('Sources - Observations (Berlin)'!$A$5:$A$314,$A130,'Sources - Observations (Berlin)'!$B$5:$B$314,$B130)</f>
        <v>2</v>
      </c>
      <c r="G130" s="41">
        <f t="array" ref="G130">IFERROR(AVERAGEIFS('Sources - Observations (Berlin)'!$C$5:$C$314,'Sources - Observations (Berlin)'!$A$5:$A$314,$A130,'Sources - Observations (Berlin)'!$B$5:$B$314,$B130),"")</f>
        <v>5500</v>
      </c>
      <c r="H130" s="106" t="s">
        <v>295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104" t="s">
        <v>58</v>
      </c>
      <c r="B131" s="21">
        <v>2002.0</v>
      </c>
      <c r="C131" s="24">
        <f t="array" ref="C131">IFERROR(AVERAGEIFS('Sources - Observations (Berlin)'!$C$5:$C$314,'Sources - Observations (Berlin)'!$A$5:$A$314,$A131,'Sources - Observations (Berlin)'!$B$5:$B$314,$B131,'Sources - Observations (Berlin)'!$D$5:$D$314,"press"),"")</f>
        <v>9500</v>
      </c>
      <c r="D131" s="109" t="str">
        <f t="array" ref="D131">IFERROR(AVERAGEIFS('Sources - Observations (Berlin)'!$C$5:$C$314,'Sources - Observations (Berlin)'!$A$5:$A$314,$A131,'Sources - Observations (Berlin)'!$B$5:$B$314,$B131,'Sources - Observations (Berlin)'!$D$5:$D$314,"organisers"),"")</f>
        <v/>
      </c>
      <c r="E131" s="109" t="str">
        <f t="array" ref="E131">IFERROR(AVERAGEIFS('Sources - Observations (Berlin)'!$C$5:$C$314,'Sources - Observations (Berlin)'!$A$5:$A$314,$A131,'Sources - Observations (Berlin)'!$B$5:$B$314,$B131,'Sources - Observations (Berlin)'!$D$5:$D$314,"police"),"")</f>
        <v/>
      </c>
      <c r="F131" s="21">
        <f t="array" ref="F131">COUNTIFS('Sources - Observations (Berlin)'!$A$5:$A$314,$A131,'Sources - Observations (Berlin)'!$B$5:$B$314,$B131)</f>
        <v>2</v>
      </c>
      <c r="G131" s="41">
        <f t="array" ref="G131">IFERROR(AVERAGEIFS('Sources - Observations (Berlin)'!$C$5:$C$314,'Sources - Observations (Berlin)'!$A$5:$A$314,$A131,'Sources - Observations (Berlin)'!$B$5:$B$314,$B131),"")</f>
        <v>9500</v>
      </c>
      <c r="H131" s="106" t="s">
        <v>295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104" t="s">
        <v>58</v>
      </c>
      <c r="B132" s="21">
        <v>2003.0</v>
      </c>
      <c r="C132" s="24">
        <f t="array" ref="C132">IFERROR(AVERAGEIFS('Sources - Observations (Berlin)'!$C$5:$C$314,'Sources - Observations (Berlin)'!$A$5:$A$314,$A132,'Sources - Observations (Berlin)'!$B$5:$B$314,$B132,'Sources - Observations (Berlin)'!$D$5:$D$314,"press"),"")</f>
        <v>3500</v>
      </c>
      <c r="D132" s="109" t="str">
        <f t="array" ref="D132">IFERROR(AVERAGEIFS('Sources - Observations (Berlin)'!$C$5:$C$314,'Sources - Observations (Berlin)'!$A$5:$A$314,$A132,'Sources - Observations (Berlin)'!$B$5:$B$314,$B132,'Sources - Observations (Berlin)'!$D$5:$D$314,"organisers"),"")</f>
        <v/>
      </c>
      <c r="E132" s="109" t="str">
        <f t="array" ref="E132">IFERROR(AVERAGEIFS('Sources - Observations (Berlin)'!$C$5:$C$314,'Sources - Observations (Berlin)'!$A$5:$A$314,$A132,'Sources - Observations (Berlin)'!$B$5:$B$314,$B132,'Sources - Observations (Berlin)'!$D$5:$D$314,"police"),"")</f>
        <v/>
      </c>
      <c r="F132" s="21">
        <f t="array" ref="F132">COUNTIFS('Sources - Observations (Berlin)'!$A$5:$A$314,$A132,'Sources - Observations (Berlin)'!$B$5:$B$314,$B132)</f>
        <v>1</v>
      </c>
      <c r="G132" s="41">
        <f t="array" ref="G132">IFERROR(AVERAGEIFS('Sources - Observations (Berlin)'!$C$5:$C$314,'Sources - Observations (Berlin)'!$A$5:$A$314,$A132,'Sources - Observations (Berlin)'!$B$5:$B$314,$B132),"")</f>
        <v>3500</v>
      </c>
      <c r="H132" s="106" t="s">
        <v>295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104" t="s">
        <v>58</v>
      </c>
      <c r="B133" s="21">
        <v>2004.0</v>
      </c>
      <c r="C133" s="24">
        <f t="array" ref="C133">IFERROR(AVERAGEIFS('Sources - Observations (Berlin)'!$C$5:$C$314,'Sources - Observations (Berlin)'!$A$5:$A$314,$A133,'Sources - Observations (Berlin)'!$B$5:$B$314,$B133,'Sources - Observations (Berlin)'!$D$5:$D$314,"press"),"")</f>
        <v>3500</v>
      </c>
      <c r="D133" s="109" t="str">
        <f t="array" ref="D133">IFERROR(AVERAGEIFS('Sources - Observations (Berlin)'!$C$5:$C$314,'Sources - Observations (Berlin)'!$A$5:$A$314,$A133,'Sources - Observations (Berlin)'!$B$5:$B$314,$B133,'Sources - Observations (Berlin)'!$D$5:$D$314,"organisers"),"")</f>
        <v/>
      </c>
      <c r="E133" s="109" t="str">
        <f t="array" ref="E133">IFERROR(AVERAGEIFS('Sources - Observations (Berlin)'!$C$5:$C$314,'Sources - Observations (Berlin)'!$A$5:$A$314,$A133,'Sources - Observations (Berlin)'!$B$5:$B$314,$B133,'Sources - Observations (Berlin)'!$D$5:$D$314,"police"),"")</f>
        <v/>
      </c>
      <c r="F133" s="21">
        <f t="array" ref="F133">COUNTIFS('Sources - Observations (Berlin)'!$A$5:$A$314,$A133,'Sources - Observations (Berlin)'!$B$5:$B$314,$B133)</f>
        <v>1</v>
      </c>
      <c r="G133" s="41">
        <f t="array" ref="G133">IFERROR(AVERAGEIFS('Sources - Observations (Berlin)'!$C$5:$C$314,'Sources - Observations (Berlin)'!$A$5:$A$314,$A133,'Sources - Observations (Berlin)'!$B$5:$B$314,$B133),"")</f>
        <v>3500</v>
      </c>
      <c r="H133" s="106" t="s">
        <v>295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104" t="s">
        <v>58</v>
      </c>
      <c r="B134" s="21">
        <v>2005.0</v>
      </c>
      <c r="C134" s="109" t="str">
        <f t="array" ref="C134">IFERROR(AVERAGEIFS('Sources - Observations (Berlin)'!$C$5:$C$314,'Sources - Observations (Berlin)'!$A$5:$A$314,$A134,'Sources - Observations (Berlin)'!$B$5:$B$314,$B134,'Sources - Observations (Berlin)'!$D$5:$D$314,"press"),"")</f>
        <v/>
      </c>
      <c r="D134" s="109" t="str">
        <f t="array" ref="D134">IFERROR(AVERAGEIFS('Sources - Observations (Berlin)'!$C$5:$C$314,'Sources - Observations (Berlin)'!$A$5:$A$314,$A134,'Sources - Observations (Berlin)'!$B$5:$B$314,$B134,'Sources - Observations (Berlin)'!$D$5:$D$314,"organisers"),"")</f>
        <v/>
      </c>
      <c r="E134" s="109" t="str">
        <f t="array" ref="E134">IFERROR(AVERAGEIFS('Sources - Observations (Berlin)'!$C$5:$C$314,'Sources - Observations (Berlin)'!$A$5:$A$314,$A134,'Sources - Observations (Berlin)'!$B$5:$B$314,$B134,'Sources - Observations (Berlin)'!$D$5:$D$314,"police"),"")</f>
        <v/>
      </c>
      <c r="F134" s="21">
        <f t="array" ref="F134">COUNTIFS('Sources - Observations (Berlin)'!$A$5:$A$314,$A134,'Sources - Observations (Berlin)'!$B$5:$B$314,$B134)</f>
        <v>1</v>
      </c>
      <c r="G134" s="41">
        <f t="array" ref="G134">IFERROR(AVERAGEIFS('Sources - Observations (Berlin)'!$C$5:$C$314,'Sources - Observations (Berlin)'!$A$5:$A$314,$A134,'Sources - Observations (Berlin)'!$B$5:$B$314,$B134),"")</f>
        <v>0</v>
      </c>
      <c r="H134" s="106" t="s">
        <v>295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104" t="s">
        <v>58</v>
      </c>
      <c r="B135" s="21">
        <v>2006.0</v>
      </c>
      <c r="C135" s="109" t="str">
        <f t="array" ref="C135">IFERROR(AVERAGEIFS('Sources - Observations (Berlin)'!$C$5:$C$314,'Sources - Observations (Berlin)'!$A$5:$A$314,$A135,'Sources - Observations (Berlin)'!$B$5:$B$314,$B135,'Sources - Observations (Berlin)'!$D$5:$D$314,"press"),"")</f>
        <v/>
      </c>
      <c r="D135" s="109" t="str">
        <f t="array" ref="D135">IFERROR(AVERAGEIFS('Sources - Observations (Berlin)'!$C$5:$C$314,'Sources - Observations (Berlin)'!$A$5:$A$314,$A135,'Sources - Observations (Berlin)'!$B$5:$B$314,$B135,'Sources - Observations (Berlin)'!$D$5:$D$314,"organisers"),"")</f>
        <v/>
      </c>
      <c r="E135" s="109" t="str">
        <f t="array" ref="E135">IFERROR(AVERAGEIFS('Sources - Observations (Berlin)'!$C$5:$C$314,'Sources - Observations (Berlin)'!$A$5:$A$314,$A135,'Sources - Observations (Berlin)'!$B$5:$B$314,$B135,'Sources - Observations (Berlin)'!$D$5:$D$314,"police"),"")</f>
        <v/>
      </c>
      <c r="F135" s="21">
        <f t="array" ref="F135">COUNTIFS('Sources - Observations (Berlin)'!$A$5:$A$314,$A135,'Sources - Observations (Berlin)'!$B$5:$B$314,$B135)</f>
        <v>1</v>
      </c>
      <c r="G135" s="41">
        <f t="array" ref="G135">IFERROR(AVERAGEIFS('Sources - Observations (Berlin)'!$C$5:$C$314,'Sources - Observations (Berlin)'!$A$5:$A$314,$A135,'Sources - Observations (Berlin)'!$B$5:$B$314,$B135),"")</f>
        <v>0</v>
      </c>
      <c r="H135" s="106" t="s">
        <v>295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104" t="s">
        <v>58</v>
      </c>
      <c r="B136" s="21">
        <v>2007.0</v>
      </c>
      <c r="C136" s="24">
        <f t="array" ref="C136">IFERROR(AVERAGEIFS('Sources - Observations (Berlin)'!$C$5:$C$314,'Sources - Observations (Berlin)'!$A$5:$A$314,$A136,'Sources - Observations (Berlin)'!$B$5:$B$314,$B136,'Sources - Observations (Berlin)'!$D$5:$D$314,"press"),"")</f>
        <v>5000</v>
      </c>
      <c r="D136" s="24">
        <f t="array" ref="D136">IFERROR(AVERAGEIFS('Sources - Observations (Berlin)'!$C$5:$C$314,'Sources - Observations (Berlin)'!$A$5:$A$314,$A136,'Sources - Observations (Berlin)'!$B$5:$B$314,$B136,'Sources - Observations (Berlin)'!$D$5:$D$314,"organisers"),"")</f>
        <v>15000</v>
      </c>
      <c r="E136" s="24">
        <f t="array" ref="E136">IFERROR(AVERAGEIFS('Sources - Observations (Berlin)'!$C$5:$C$314,'Sources - Observations (Berlin)'!$A$5:$A$314,$A136,'Sources - Observations (Berlin)'!$B$5:$B$314,$B136,'Sources - Observations (Berlin)'!$D$5:$D$314,"police"),"")</f>
        <v>3000</v>
      </c>
      <c r="F136" s="21">
        <f t="array" ref="F136">COUNTIFS('Sources - Observations (Berlin)'!$A$5:$A$314,$A136,'Sources - Observations (Berlin)'!$B$5:$B$314,$B136)</f>
        <v>3</v>
      </c>
      <c r="G136" s="41">
        <f t="array" ref="G136">IFERROR(AVERAGEIFS('Sources - Observations (Berlin)'!$C$5:$C$314,'Sources - Observations (Berlin)'!$A$5:$A$314,$A136,'Sources - Observations (Berlin)'!$B$5:$B$314,$B136),"")</f>
        <v>7666.666667</v>
      </c>
      <c r="H136" s="106" t="s">
        <v>295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104" t="s">
        <v>58</v>
      </c>
      <c r="B137" s="21">
        <v>2008.0</v>
      </c>
      <c r="C137" s="109" t="str">
        <f t="array" ref="C137">IFERROR(AVERAGEIFS('Sources - Observations (Berlin)'!$C$5:$C$314,'Sources - Observations (Berlin)'!$A$5:$A$314,$A137,'Sources - Observations (Berlin)'!$B$5:$B$314,$B137,'Sources - Observations (Berlin)'!$D$5:$D$314,"press"),"")</f>
        <v/>
      </c>
      <c r="D137" s="24">
        <f t="array" ref="D137">IFERROR(AVERAGEIFS('Sources - Observations (Berlin)'!$C$5:$C$314,'Sources - Observations (Berlin)'!$A$5:$A$314,$A137,'Sources - Observations (Berlin)'!$B$5:$B$314,$B137,'Sources - Observations (Berlin)'!$D$5:$D$314,"organisers"),"")</f>
        <v>12000</v>
      </c>
      <c r="E137" s="24">
        <f t="array" ref="E137">IFERROR(AVERAGEIFS('Sources - Observations (Berlin)'!$C$5:$C$314,'Sources - Observations (Berlin)'!$A$5:$A$314,$A137,'Sources - Observations (Berlin)'!$B$5:$B$314,$B137,'Sources - Observations (Berlin)'!$D$5:$D$314,"police"),"")</f>
        <v>10000</v>
      </c>
      <c r="F137" s="21">
        <f t="array" ref="F137">COUNTIFS('Sources - Observations (Berlin)'!$A$5:$A$314,$A137,'Sources - Observations (Berlin)'!$B$5:$B$314,$B137)</f>
        <v>2</v>
      </c>
      <c r="G137" s="41">
        <f t="array" ref="G137">IFERROR(AVERAGEIFS('Sources - Observations (Berlin)'!$C$5:$C$314,'Sources - Observations (Berlin)'!$A$5:$A$314,$A137,'Sources - Observations (Berlin)'!$B$5:$B$314,$B137),"")</f>
        <v>11000</v>
      </c>
      <c r="H137" s="106" t="s">
        <v>295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104" t="s">
        <v>58</v>
      </c>
      <c r="B138" s="21">
        <v>2009.0</v>
      </c>
      <c r="C138" s="109" t="str">
        <f t="array" ref="C138">IFERROR(AVERAGEIFS('Sources - Observations (Berlin)'!$C$5:$C$314,'Sources - Observations (Berlin)'!$A$5:$A$314,$A138,'Sources - Observations (Berlin)'!$B$5:$B$314,$B138,'Sources - Observations (Berlin)'!$D$5:$D$314,"press"),"")</f>
        <v/>
      </c>
      <c r="D138" s="24">
        <f t="array" ref="D138">IFERROR(AVERAGEIFS('Sources - Observations (Berlin)'!$C$5:$C$314,'Sources - Observations (Berlin)'!$A$5:$A$314,$A138,'Sources - Observations (Berlin)'!$B$5:$B$314,$B138,'Sources - Observations (Berlin)'!$D$5:$D$314,"organisers"),"")</f>
        <v>12000</v>
      </c>
      <c r="E138" s="24">
        <f t="array" ref="E138">IFERROR(AVERAGEIFS('Sources - Observations (Berlin)'!$C$5:$C$314,'Sources - Observations (Berlin)'!$A$5:$A$314,$A138,'Sources - Observations (Berlin)'!$B$5:$B$314,$B138,'Sources - Observations (Berlin)'!$D$5:$D$314,"police"),"")</f>
        <v>5000</v>
      </c>
      <c r="F138" s="21">
        <f t="array" ref="F138">COUNTIFS('Sources - Observations (Berlin)'!$A$5:$A$314,$A138,'Sources - Observations (Berlin)'!$B$5:$B$314,$B138)</f>
        <v>2</v>
      </c>
      <c r="G138" s="41">
        <f t="array" ref="G138">IFERROR(AVERAGEIFS('Sources - Observations (Berlin)'!$C$5:$C$314,'Sources - Observations (Berlin)'!$A$5:$A$314,$A138,'Sources - Observations (Berlin)'!$B$5:$B$314,$B138),"")</f>
        <v>8500</v>
      </c>
      <c r="H138" s="106" t="s">
        <v>295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104" t="s">
        <v>58</v>
      </c>
      <c r="B139" s="21">
        <v>2010.0</v>
      </c>
      <c r="C139" s="109" t="str">
        <f t="array" ref="C139">IFERROR(AVERAGEIFS('Sources - Observations (Berlin)'!$C$5:$C$314,'Sources - Observations (Berlin)'!$A$5:$A$314,$A139,'Sources - Observations (Berlin)'!$B$5:$B$314,$B139,'Sources - Observations (Berlin)'!$D$5:$D$314,"press"),"")</f>
        <v/>
      </c>
      <c r="D139" s="24">
        <f t="array" ref="D139">IFERROR(AVERAGEIFS('Sources - Observations (Berlin)'!$C$5:$C$314,'Sources - Observations (Berlin)'!$A$5:$A$314,$A139,'Sources - Observations (Berlin)'!$B$5:$B$314,$B139,'Sources - Observations (Berlin)'!$D$5:$D$314,"organisers"),"")</f>
        <v>15000</v>
      </c>
      <c r="E139" s="24">
        <f t="array" ref="E139">IFERROR(AVERAGEIFS('Sources - Observations (Berlin)'!$C$5:$C$314,'Sources - Observations (Berlin)'!$A$5:$A$314,$A139,'Sources - Observations (Berlin)'!$B$5:$B$314,$B139,'Sources - Observations (Berlin)'!$D$5:$D$314,"police"),"")</f>
        <v>10000</v>
      </c>
      <c r="F139" s="21">
        <f t="array" ref="F139">COUNTIFS('Sources - Observations (Berlin)'!$A$5:$A$314,$A139,'Sources - Observations (Berlin)'!$B$5:$B$314,$B139)</f>
        <v>2</v>
      </c>
      <c r="G139" s="41">
        <f t="array" ref="G139">IFERROR(AVERAGEIFS('Sources - Observations (Berlin)'!$C$5:$C$314,'Sources - Observations (Berlin)'!$A$5:$A$314,$A139,'Sources - Observations (Berlin)'!$B$5:$B$314,$B139),"")</f>
        <v>12500</v>
      </c>
      <c r="H139" s="106" t="s">
        <v>295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104" t="s">
        <v>58</v>
      </c>
      <c r="B140" s="21">
        <v>2011.0</v>
      </c>
      <c r="C140" s="24">
        <f t="array" ref="C140">IFERROR(AVERAGEIFS('Sources - Observations (Berlin)'!$C$5:$C$314,'Sources - Observations (Berlin)'!$A$5:$A$314,$A140,'Sources - Observations (Berlin)'!$B$5:$B$314,$B140,'Sources - Observations (Berlin)'!$D$5:$D$314,"press"),"")</f>
        <v>10000</v>
      </c>
      <c r="D140" s="24">
        <f t="array" ref="D140">IFERROR(AVERAGEIFS('Sources - Observations (Berlin)'!$C$5:$C$314,'Sources - Observations (Berlin)'!$A$5:$A$314,$A140,'Sources - Observations (Berlin)'!$B$5:$B$314,$B140,'Sources - Observations (Berlin)'!$D$5:$D$314,"organisers"),"")</f>
        <v>15000</v>
      </c>
      <c r="E140" s="24">
        <f t="array" ref="E140">IFERROR(AVERAGEIFS('Sources - Observations (Berlin)'!$C$5:$C$314,'Sources - Observations (Berlin)'!$A$5:$A$314,$A140,'Sources - Observations (Berlin)'!$B$5:$B$314,$B140,'Sources - Observations (Berlin)'!$D$5:$D$314,"police"),"")</f>
        <v>9000</v>
      </c>
      <c r="F140" s="21">
        <f t="array" ref="F140">COUNTIFS('Sources - Observations (Berlin)'!$A$5:$A$314,$A140,'Sources - Observations (Berlin)'!$B$5:$B$314,$B140)</f>
        <v>3</v>
      </c>
      <c r="G140" s="41">
        <f t="array" ref="G140">IFERROR(AVERAGEIFS('Sources - Observations (Berlin)'!$C$5:$C$314,'Sources - Observations (Berlin)'!$A$5:$A$314,$A140,'Sources - Observations (Berlin)'!$B$5:$B$314,$B140),"")</f>
        <v>11333.33333</v>
      </c>
      <c r="H140" s="106" t="s">
        <v>295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104" t="s">
        <v>58</v>
      </c>
      <c r="B141" s="21">
        <v>2012.0</v>
      </c>
      <c r="C141" s="24">
        <f t="array" ref="C141">IFERROR(AVERAGEIFS('Sources - Observations (Berlin)'!$C$5:$C$314,'Sources - Observations (Berlin)'!$A$5:$A$314,$A141,'Sources - Observations (Berlin)'!$B$5:$B$314,$B141,'Sources - Observations (Berlin)'!$D$5:$D$314,"press"),"")</f>
        <v>12000</v>
      </c>
      <c r="D141" s="24">
        <f t="array" ref="D141">IFERROR(AVERAGEIFS('Sources - Observations (Berlin)'!$C$5:$C$314,'Sources - Observations (Berlin)'!$A$5:$A$314,$A141,'Sources - Observations (Berlin)'!$B$5:$B$314,$B141,'Sources - Observations (Berlin)'!$D$5:$D$314,"organisers"),"")</f>
        <v>25000</v>
      </c>
      <c r="E141" s="109" t="str">
        <f t="array" ref="E141">IFERROR(AVERAGEIFS('Sources - Observations (Berlin)'!$C$5:$C$314,'Sources - Observations (Berlin)'!$A$5:$A$314,$A141,'Sources - Observations (Berlin)'!$B$5:$B$314,$B141,'Sources - Observations (Berlin)'!$D$5:$D$314,"police"),"")</f>
        <v/>
      </c>
      <c r="F141" s="21">
        <f t="array" ref="F141">COUNTIFS('Sources - Observations (Berlin)'!$A$5:$A$314,$A141,'Sources - Observations (Berlin)'!$B$5:$B$314,$B141)</f>
        <v>2</v>
      </c>
      <c r="G141" s="41">
        <f t="array" ref="G141">IFERROR(AVERAGEIFS('Sources - Observations (Berlin)'!$C$5:$C$314,'Sources - Observations (Berlin)'!$A$5:$A$314,$A141,'Sources - Observations (Berlin)'!$B$5:$B$314,$B141),"")</f>
        <v>18500</v>
      </c>
      <c r="H141" s="106" t="s">
        <v>295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104" t="s">
        <v>58</v>
      </c>
      <c r="B142" s="21">
        <v>2013.0</v>
      </c>
      <c r="C142" s="24">
        <f t="array" ref="C142">IFERROR(AVERAGEIFS('Sources - Observations (Berlin)'!$C$5:$C$314,'Sources - Observations (Berlin)'!$A$5:$A$314,$A142,'Sources - Observations (Berlin)'!$B$5:$B$314,$B142,'Sources - Observations (Berlin)'!$D$5:$D$314,"press"),"")</f>
        <v>10000</v>
      </c>
      <c r="D142" s="24">
        <f t="array" ref="D142">IFERROR(AVERAGEIFS('Sources - Observations (Berlin)'!$C$5:$C$314,'Sources - Observations (Berlin)'!$A$5:$A$314,$A142,'Sources - Observations (Berlin)'!$B$5:$B$314,$B142,'Sources - Observations (Berlin)'!$D$5:$D$314,"organisers"),"")</f>
        <v>17000</v>
      </c>
      <c r="E142" s="24">
        <f t="array" ref="E142">IFERROR(AVERAGEIFS('Sources - Observations (Berlin)'!$C$5:$C$314,'Sources - Observations (Berlin)'!$A$5:$A$314,$A142,'Sources - Observations (Berlin)'!$B$5:$B$314,$B142,'Sources - Observations (Berlin)'!$D$5:$D$314,"police"),"")</f>
        <v>8000</v>
      </c>
      <c r="F142" s="21">
        <f t="array" ref="F142">COUNTIFS('Sources - Observations (Berlin)'!$A$5:$A$314,$A142,'Sources - Observations (Berlin)'!$B$5:$B$314,$B142)</f>
        <v>3</v>
      </c>
      <c r="G142" s="41">
        <f t="array" ref="G142">IFERROR(AVERAGEIFS('Sources - Observations (Berlin)'!$C$5:$C$314,'Sources - Observations (Berlin)'!$A$5:$A$314,$A142,'Sources - Observations (Berlin)'!$B$5:$B$314,$B142),"")</f>
        <v>11666.66667</v>
      </c>
      <c r="H142" s="106" t="s">
        <v>295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104" t="s">
        <v>58</v>
      </c>
      <c r="B143" s="21">
        <v>2014.0</v>
      </c>
      <c r="C143" s="109" t="str">
        <f t="array" ref="C143">IFERROR(AVERAGEIFS('Sources - Observations (Berlin)'!$C$5:$C$314,'Sources - Observations (Berlin)'!$A$5:$A$314,$A143,'Sources - Observations (Berlin)'!$B$5:$B$314,$B143,'Sources - Observations (Berlin)'!$D$5:$D$314,"press"),"")</f>
        <v/>
      </c>
      <c r="D143" s="24">
        <f t="array" ref="D143">IFERROR(AVERAGEIFS('Sources - Observations (Berlin)'!$C$5:$C$314,'Sources - Observations (Berlin)'!$A$5:$A$314,$A143,'Sources - Observations (Berlin)'!$B$5:$B$314,$B143,'Sources - Observations (Berlin)'!$D$5:$D$314,"organisers"),"")</f>
        <v>25000</v>
      </c>
      <c r="E143" s="24">
        <f t="array" ref="E143">IFERROR(AVERAGEIFS('Sources - Observations (Berlin)'!$C$5:$C$314,'Sources - Observations (Berlin)'!$A$5:$A$314,$A143,'Sources - Observations (Berlin)'!$B$5:$B$314,$B143,'Sources - Observations (Berlin)'!$D$5:$D$314,"police"),"")</f>
        <v>19000</v>
      </c>
      <c r="F143" s="21">
        <f t="array" ref="F143">COUNTIFS('Sources - Observations (Berlin)'!$A$5:$A$314,$A143,'Sources - Observations (Berlin)'!$B$5:$B$314,$B143)</f>
        <v>2</v>
      </c>
      <c r="G143" s="41">
        <f t="array" ref="G143">IFERROR(AVERAGEIFS('Sources - Observations (Berlin)'!$C$5:$C$314,'Sources - Observations (Berlin)'!$A$5:$A$314,$A143,'Sources - Observations (Berlin)'!$B$5:$B$314,$B143),"")</f>
        <v>22000</v>
      </c>
      <c r="H143" s="106" t="s">
        <v>295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104" t="s">
        <v>58</v>
      </c>
      <c r="B144" s="21">
        <v>2015.0</v>
      </c>
      <c r="C144" s="109" t="str">
        <f t="array" ref="C144">IFERROR(AVERAGEIFS('Sources - Observations (Berlin)'!$C$5:$C$314,'Sources - Observations (Berlin)'!$A$5:$A$314,$A144,'Sources - Observations (Berlin)'!$B$5:$B$314,$B144,'Sources - Observations (Berlin)'!$D$5:$D$314,"press"),"")</f>
        <v/>
      </c>
      <c r="D144" s="24">
        <f t="array" ref="D144">IFERROR(AVERAGEIFS('Sources - Observations (Berlin)'!$C$5:$C$314,'Sources - Observations (Berlin)'!$A$5:$A$314,$A144,'Sources - Observations (Berlin)'!$B$5:$B$314,$B144,'Sources - Observations (Berlin)'!$D$5:$D$314,"organisers"),"")</f>
        <v>33000</v>
      </c>
      <c r="E144" s="24">
        <f t="array" ref="E144">IFERROR(AVERAGEIFS('Sources - Observations (Berlin)'!$C$5:$C$314,'Sources - Observations (Berlin)'!$A$5:$A$314,$A144,'Sources - Observations (Berlin)'!$B$5:$B$314,$B144,'Sources - Observations (Berlin)'!$D$5:$D$314,"police"),"")</f>
        <v>18000</v>
      </c>
      <c r="F144" s="21">
        <f t="array" ref="F144">COUNTIFS('Sources - Observations (Berlin)'!$A$5:$A$314,$A144,'Sources - Observations (Berlin)'!$B$5:$B$314,$B144)</f>
        <v>2</v>
      </c>
      <c r="G144" s="41">
        <f t="array" ref="G144">IFERROR(AVERAGEIFS('Sources - Observations (Berlin)'!$C$5:$C$314,'Sources - Observations (Berlin)'!$A$5:$A$314,$A144,'Sources - Observations (Berlin)'!$B$5:$B$314,$B144),"")</f>
        <v>25500</v>
      </c>
      <c r="H144" s="106" t="s">
        <v>295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104" t="s">
        <v>58</v>
      </c>
      <c r="B145" s="21">
        <v>2016.0</v>
      </c>
      <c r="C145" s="109" t="str">
        <f t="array" ref="C145">IFERROR(AVERAGEIFS('Sources - Observations (Berlin)'!$C$5:$C$314,'Sources - Observations (Berlin)'!$A$5:$A$314,$A145,'Sources - Observations (Berlin)'!$B$5:$B$314,$B145,'Sources - Observations (Berlin)'!$D$5:$D$314,"press"),"")</f>
        <v/>
      </c>
      <c r="D145" s="24">
        <f t="array" ref="D145">IFERROR(AVERAGEIFS('Sources - Observations (Berlin)'!$C$5:$C$314,'Sources - Observations (Berlin)'!$A$5:$A$314,$A145,'Sources - Observations (Berlin)'!$B$5:$B$314,$B145,'Sources - Observations (Berlin)'!$D$5:$D$314,"organisers"),"")</f>
        <v>20000</v>
      </c>
      <c r="E145" s="24">
        <f t="array" ref="E145">IFERROR(AVERAGEIFS('Sources - Observations (Berlin)'!$C$5:$C$314,'Sources - Observations (Berlin)'!$A$5:$A$314,$A145,'Sources - Observations (Berlin)'!$B$5:$B$314,$B145,'Sources - Observations (Berlin)'!$D$5:$D$314,"police"),"")</f>
        <v>13000</v>
      </c>
      <c r="F145" s="21">
        <f t="array" ref="F145">COUNTIFS('Sources - Observations (Berlin)'!$A$5:$A$314,$A145,'Sources - Observations (Berlin)'!$B$5:$B$314,$B145)</f>
        <v>2</v>
      </c>
      <c r="G145" s="41">
        <f t="array" ref="G145">IFERROR(AVERAGEIFS('Sources - Observations (Berlin)'!$C$5:$C$314,'Sources - Observations (Berlin)'!$A$5:$A$314,$A145,'Sources - Observations (Berlin)'!$B$5:$B$314,$B145),"")</f>
        <v>16500</v>
      </c>
      <c r="H145" s="106" t="s">
        <v>295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104" t="s">
        <v>58</v>
      </c>
      <c r="B146" s="21">
        <v>2017.0</v>
      </c>
      <c r="C146" s="109" t="str">
        <f t="array" ref="C146">IFERROR(AVERAGEIFS('Sources - Observations (Berlin)'!$C$5:$C$314,'Sources - Observations (Berlin)'!$A$5:$A$314,$A146,'Sources - Observations (Berlin)'!$B$5:$B$314,$B146,'Sources - Observations (Berlin)'!$D$5:$D$314,"press"),"")</f>
        <v/>
      </c>
      <c r="D146" s="24">
        <f t="array" ref="D146">IFERROR(AVERAGEIFS('Sources - Observations (Berlin)'!$C$5:$C$314,'Sources - Observations (Berlin)'!$A$5:$A$314,$A146,'Sources - Observations (Berlin)'!$B$5:$B$314,$B146,'Sources - Observations (Berlin)'!$D$5:$D$314,"organisers"),"")</f>
        <v>20000</v>
      </c>
      <c r="E146" s="24">
        <f t="array" ref="E146">IFERROR(AVERAGEIFS('Sources - Observations (Berlin)'!$C$5:$C$314,'Sources - Observations (Berlin)'!$A$5:$A$314,$A146,'Sources - Observations (Berlin)'!$B$5:$B$314,$B146,'Sources - Observations (Berlin)'!$D$5:$D$314,"police"),"")</f>
        <v>10000</v>
      </c>
      <c r="F146" s="21">
        <f t="array" ref="F146">COUNTIFS('Sources - Observations (Berlin)'!$A$5:$A$314,$A146,'Sources - Observations (Berlin)'!$B$5:$B$314,$B146)</f>
        <v>2</v>
      </c>
      <c r="G146" s="41">
        <f t="array" ref="G146">IFERROR(AVERAGEIFS('Sources - Observations (Berlin)'!$C$5:$C$314,'Sources - Observations (Berlin)'!$A$5:$A$314,$A146,'Sources - Observations (Berlin)'!$B$5:$B$314,$B146),"")</f>
        <v>15000</v>
      </c>
      <c r="H146" s="106" t="s">
        <v>295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104" t="s">
        <v>58</v>
      </c>
      <c r="B147" s="21">
        <v>2018.0</v>
      </c>
      <c r="C147" s="109" t="str">
        <f t="array" ref="C147">IFERROR(AVERAGEIFS('Sources - Observations (Berlin)'!$C$5:$C$314,'Sources - Observations (Berlin)'!$A$5:$A$314,$A147,'Sources - Observations (Berlin)'!$B$5:$B$314,$B147,'Sources - Observations (Berlin)'!$D$5:$D$314,"press"),"")</f>
        <v/>
      </c>
      <c r="D147" s="24">
        <f t="array" ref="D147">IFERROR(AVERAGEIFS('Sources - Observations (Berlin)'!$C$5:$C$314,'Sources - Observations (Berlin)'!$A$5:$A$314,$A147,'Sources - Observations (Berlin)'!$B$5:$B$314,$B147,'Sources - Observations (Berlin)'!$D$5:$D$314,"organisers"),"")</f>
        <v>18000</v>
      </c>
      <c r="E147" s="24">
        <f t="array" ref="E147">IFERROR(AVERAGEIFS('Sources - Observations (Berlin)'!$C$5:$C$314,'Sources - Observations (Berlin)'!$A$5:$A$314,$A147,'Sources - Observations (Berlin)'!$B$5:$B$314,$B147,'Sources - Observations (Berlin)'!$D$5:$D$314,"police"),"")</f>
        <v>7000</v>
      </c>
      <c r="F147" s="21">
        <f t="array" ref="F147">COUNTIFS('Sources - Observations (Berlin)'!$A$5:$A$314,$A147,'Sources - Observations (Berlin)'!$B$5:$B$314,$B147)</f>
        <v>2</v>
      </c>
      <c r="G147" s="41">
        <f t="array" ref="G147">IFERROR(AVERAGEIFS('Sources - Observations (Berlin)'!$C$5:$C$314,'Sources - Observations (Berlin)'!$A$5:$A$314,$A147,'Sources - Observations (Berlin)'!$B$5:$B$314,$B147),"")</f>
        <v>12500</v>
      </c>
      <c r="H147" s="106" t="s">
        <v>295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104" t="s">
        <v>58</v>
      </c>
      <c r="B148" s="21">
        <v>2019.0</v>
      </c>
      <c r="C148" s="24">
        <f t="array" ref="C148">IFERROR(AVERAGEIFS('Sources - Observations (Berlin)'!$C$5:$C$314,'Sources - Observations (Berlin)'!$A$5:$A$314,$A148,'Sources - Observations (Berlin)'!$B$5:$B$314,$B148,'Sources - Observations (Berlin)'!$D$5:$D$314,"press"),"")</f>
        <v>10000</v>
      </c>
      <c r="D148" s="24">
        <f t="array" ref="D148">IFERROR(AVERAGEIFS('Sources - Observations (Berlin)'!$C$5:$C$314,'Sources - Observations (Berlin)'!$A$5:$A$314,$A148,'Sources - Observations (Berlin)'!$B$5:$B$314,$B148,'Sources - Observations (Berlin)'!$D$5:$D$314,"organisers"),"")</f>
        <v>15000</v>
      </c>
      <c r="E148" s="24">
        <f t="array" ref="E148">IFERROR(AVERAGEIFS('Sources - Observations (Berlin)'!$C$5:$C$314,'Sources - Observations (Berlin)'!$A$5:$A$314,$A148,'Sources - Observations (Berlin)'!$B$5:$B$314,$B148,'Sources - Observations (Berlin)'!$D$5:$D$314,"police"),"")</f>
        <v>5000</v>
      </c>
      <c r="F148" s="21">
        <f t="array" ref="F148">COUNTIFS('Sources - Observations (Berlin)'!$A$5:$A$314,$A148,'Sources - Observations (Berlin)'!$B$5:$B$314,$B148)</f>
        <v>3</v>
      </c>
      <c r="G148" s="41">
        <f t="array" ref="G148">IFERROR(AVERAGEIFS('Sources - Observations (Berlin)'!$C$5:$C$314,'Sources - Observations (Berlin)'!$A$5:$A$314,$A148,'Sources - Observations (Berlin)'!$B$5:$B$314,$B148),"")</f>
        <v>10000</v>
      </c>
      <c r="H148" s="106" t="s">
        <v>295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104" t="s">
        <v>57</v>
      </c>
      <c r="B149" s="21">
        <v>1988.0</v>
      </c>
      <c r="C149" s="24">
        <f t="array" ref="C149">IFERROR(AVERAGEIFS('Sources - Observations (Berlin)'!$C$5:$C$314,'Sources - Observations (Berlin)'!$A$5:$A$314,$A149,'Sources - Observations (Berlin)'!$B$5:$B$314,$B149,'Sources - Observations (Berlin)'!$D$5:$D$314,"press"),"")</f>
        <v>7000</v>
      </c>
      <c r="D149" s="109" t="str">
        <f t="array" ref="D149">IFERROR(AVERAGEIFS('Sources - Observations (Berlin)'!$C$5:$C$314,'Sources - Observations (Berlin)'!$A$5:$A$314,$A149,'Sources - Observations (Berlin)'!$B$5:$B$314,$B149,'Sources - Observations (Berlin)'!$D$5:$D$314,"organisers"),"")</f>
        <v/>
      </c>
      <c r="E149" s="109" t="str">
        <f t="array" ref="E149">IFERROR(AVERAGEIFS('Sources - Observations (Berlin)'!$C$5:$C$314,'Sources - Observations (Berlin)'!$A$5:$A$314,$A149,'Sources - Observations (Berlin)'!$B$5:$B$314,$B149,'Sources - Observations (Berlin)'!$D$5:$D$314,"police"),"")</f>
        <v/>
      </c>
      <c r="F149" s="21">
        <f t="array" ref="F149">COUNTIFS('Sources - Observations (Berlin)'!$A$5:$A$314,$A149,'Sources - Observations (Berlin)'!$B$5:$B$314,$B149)</f>
        <v>1</v>
      </c>
      <c r="G149" s="41">
        <f t="array" ref="G149">IFERROR(AVERAGEIFS('Sources - Observations (Berlin)'!$C$5:$C$314,'Sources - Observations (Berlin)'!$A$5:$A$314,$A149,'Sources - Observations (Berlin)'!$B$5:$B$314,$B149),"")</f>
        <v>7000</v>
      </c>
      <c r="H149" s="106" t="s">
        <v>295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104" t="s">
        <v>57</v>
      </c>
      <c r="B150" s="21">
        <v>1989.0</v>
      </c>
      <c r="C150" s="24">
        <f t="array" ref="C150">IFERROR(AVERAGEIFS('Sources - Observations (Berlin)'!$C$5:$C$314,'Sources - Observations (Berlin)'!$A$5:$A$314,$A150,'Sources - Observations (Berlin)'!$B$5:$B$314,$B150,'Sources - Observations (Berlin)'!$D$5:$D$314,"press"),"")</f>
        <v>10000</v>
      </c>
      <c r="D150" s="109" t="str">
        <f t="array" ref="D150">IFERROR(AVERAGEIFS('Sources - Observations (Berlin)'!$C$5:$C$314,'Sources - Observations (Berlin)'!$A$5:$A$314,$A150,'Sources - Observations (Berlin)'!$B$5:$B$314,$B150,'Sources - Observations (Berlin)'!$D$5:$D$314,"organisers"),"")</f>
        <v/>
      </c>
      <c r="E150" s="109" t="str">
        <f t="array" ref="E150">IFERROR(AVERAGEIFS('Sources - Observations (Berlin)'!$C$5:$C$314,'Sources - Observations (Berlin)'!$A$5:$A$314,$A150,'Sources - Observations (Berlin)'!$B$5:$B$314,$B150,'Sources - Observations (Berlin)'!$D$5:$D$314,"police"),"")</f>
        <v/>
      </c>
      <c r="F150" s="21">
        <f t="array" ref="F150">COUNTIFS('Sources - Observations (Berlin)'!$A$5:$A$314,$A150,'Sources - Observations (Berlin)'!$B$5:$B$314,$B150)</f>
        <v>1</v>
      </c>
      <c r="G150" s="41">
        <f t="array" ref="G150">IFERROR(AVERAGEIFS('Sources - Observations (Berlin)'!$C$5:$C$314,'Sources - Observations (Berlin)'!$A$5:$A$314,$A150,'Sources - Observations (Berlin)'!$B$5:$B$314,$B150),"")</f>
        <v>10000</v>
      </c>
      <c r="H150" s="106" t="s">
        <v>295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104" t="s">
        <v>57</v>
      </c>
      <c r="B151" s="21">
        <v>1990.0</v>
      </c>
      <c r="C151" s="109" t="str">
        <f t="array" ref="C151">IFERROR(AVERAGEIFS('Sources - Observations (Berlin)'!$C$5:$C$314,'Sources - Observations (Berlin)'!$A$5:$A$314,$A151,'Sources - Observations (Berlin)'!$B$5:$B$314,$B151,'Sources - Observations (Berlin)'!$D$5:$D$314,"press"),"")</f>
        <v/>
      </c>
      <c r="D151" s="24">
        <f t="array" ref="D151">IFERROR(AVERAGEIFS('Sources - Observations (Berlin)'!$C$5:$C$314,'Sources - Observations (Berlin)'!$A$5:$A$314,$A151,'Sources - Observations (Berlin)'!$B$5:$B$314,$B151,'Sources - Observations (Berlin)'!$D$5:$D$314,"organisers"),"")</f>
        <v>15000</v>
      </c>
      <c r="E151" s="24">
        <f t="array" ref="E151">IFERROR(AVERAGEIFS('Sources - Observations (Berlin)'!$C$5:$C$314,'Sources - Observations (Berlin)'!$A$5:$A$314,$A151,'Sources - Observations (Berlin)'!$B$5:$B$314,$B151,'Sources - Observations (Berlin)'!$D$5:$D$314,"police"),"")</f>
        <v>10000</v>
      </c>
      <c r="F151" s="21">
        <f t="array" ref="F151">COUNTIFS('Sources - Observations (Berlin)'!$A$5:$A$314,$A151,'Sources - Observations (Berlin)'!$B$5:$B$314,$B151)</f>
        <v>2</v>
      </c>
      <c r="G151" s="41">
        <f t="array" ref="G151">IFERROR(AVERAGEIFS('Sources - Observations (Berlin)'!$C$5:$C$314,'Sources - Observations (Berlin)'!$A$5:$A$314,$A151,'Sources - Observations (Berlin)'!$B$5:$B$314,$B151),"")</f>
        <v>12500</v>
      </c>
      <c r="H151" s="106" t="s">
        <v>295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104" t="s">
        <v>57</v>
      </c>
      <c r="B152" s="21">
        <v>1991.0</v>
      </c>
      <c r="C152" s="109" t="str">
        <f t="array" ref="C152">IFERROR(AVERAGEIFS('Sources - Observations (Berlin)'!$C$5:$C$314,'Sources - Observations (Berlin)'!$A$5:$A$314,$A152,'Sources - Observations (Berlin)'!$B$5:$B$314,$B152,'Sources - Observations (Berlin)'!$D$5:$D$314,"press"),"")</f>
        <v/>
      </c>
      <c r="D152" s="24">
        <f t="array" ref="D152">IFERROR(AVERAGEIFS('Sources - Observations (Berlin)'!$C$5:$C$314,'Sources - Observations (Berlin)'!$A$5:$A$314,$A152,'Sources - Observations (Berlin)'!$B$5:$B$314,$B152,'Sources - Observations (Berlin)'!$D$5:$D$314,"organisers"),"")</f>
        <v>20000</v>
      </c>
      <c r="E152" s="24">
        <f t="array" ref="E152">IFERROR(AVERAGEIFS('Sources - Observations (Berlin)'!$C$5:$C$314,'Sources - Observations (Berlin)'!$A$5:$A$314,$A152,'Sources - Observations (Berlin)'!$B$5:$B$314,$B152,'Sources - Observations (Berlin)'!$D$5:$D$314,"police"),"")</f>
        <v>8000</v>
      </c>
      <c r="F152" s="21">
        <f t="array" ref="F152">COUNTIFS('Sources - Observations (Berlin)'!$A$5:$A$314,$A152,'Sources - Observations (Berlin)'!$B$5:$B$314,$B152)</f>
        <v>3</v>
      </c>
      <c r="G152" s="41">
        <f t="array" ref="G152">IFERROR(AVERAGEIFS('Sources - Observations (Berlin)'!$C$5:$C$314,'Sources - Observations (Berlin)'!$A$5:$A$314,$A152,'Sources - Observations (Berlin)'!$B$5:$B$314,$B152),"")</f>
        <v>12666.66667</v>
      </c>
      <c r="H152" s="106" t="s">
        <v>295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104" t="s">
        <v>57</v>
      </c>
      <c r="B153" s="21">
        <v>1992.0</v>
      </c>
      <c r="C153" s="24">
        <f t="array" ref="C153">IFERROR(AVERAGEIFS('Sources - Observations (Berlin)'!$C$5:$C$314,'Sources - Observations (Berlin)'!$A$5:$A$314,$A153,'Sources - Observations (Berlin)'!$B$5:$B$314,$B153,'Sources - Observations (Berlin)'!$D$5:$D$314,"press"),"")</f>
        <v>13500</v>
      </c>
      <c r="D153" s="109" t="str">
        <f t="array" ref="D153">IFERROR(AVERAGEIFS('Sources - Observations (Berlin)'!$C$5:$C$314,'Sources - Observations (Berlin)'!$A$5:$A$314,$A153,'Sources - Observations (Berlin)'!$B$5:$B$314,$B153,'Sources - Observations (Berlin)'!$D$5:$D$314,"organisers"),"")</f>
        <v/>
      </c>
      <c r="E153" s="24">
        <f t="array" ref="E153">IFERROR(AVERAGEIFS('Sources - Observations (Berlin)'!$C$5:$C$314,'Sources - Observations (Berlin)'!$A$5:$A$314,$A153,'Sources - Observations (Berlin)'!$B$5:$B$314,$B153,'Sources - Observations (Berlin)'!$D$5:$D$314,"police"),"")</f>
        <v>9000</v>
      </c>
      <c r="F153" s="21">
        <f t="array" ref="F153">COUNTIFS('Sources - Observations (Berlin)'!$A$5:$A$314,$A153,'Sources - Observations (Berlin)'!$B$5:$B$314,$B153)</f>
        <v>3</v>
      </c>
      <c r="G153" s="41">
        <f t="array" ref="G153">IFERROR(AVERAGEIFS('Sources - Observations (Berlin)'!$C$5:$C$314,'Sources - Observations (Berlin)'!$A$5:$A$314,$A153,'Sources - Observations (Berlin)'!$B$5:$B$314,$B153),"")</f>
        <v>12000</v>
      </c>
      <c r="H153" s="106" t="s">
        <v>295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104" t="s">
        <v>57</v>
      </c>
      <c r="B154" s="21">
        <v>1993.0</v>
      </c>
      <c r="C154" s="24">
        <f t="array" ref="C154">IFERROR(AVERAGEIFS('Sources - Observations (Berlin)'!$C$5:$C$314,'Sources - Observations (Berlin)'!$A$5:$A$314,$A154,'Sources - Observations (Berlin)'!$B$5:$B$314,$B154,'Sources - Observations (Berlin)'!$D$5:$D$314,"press"),"")</f>
        <v>10000</v>
      </c>
      <c r="D154" s="109" t="str">
        <f t="array" ref="D154">IFERROR(AVERAGEIFS('Sources - Observations (Berlin)'!$C$5:$C$314,'Sources - Observations (Berlin)'!$A$5:$A$314,$A154,'Sources - Observations (Berlin)'!$B$5:$B$314,$B154,'Sources - Observations (Berlin)'!$D$5:$D$314,"organisers"),"")</f>
        <v/>
      </c>
      <c r="E154" s="24">
        <f t="array" ref="E154">IFERROR(AVERAGEIFS('Sources - Observations (Berlin)'!$C$5:$C$314,'Sources - Observations (Berlin)'!$A$5:$A$314,$A154,'Sources - Observations (Berlin)'!$B$5:$B$314,$B154,'Sources - Observations (Berlin)'!$D$5:$D$314,"police"),"")</f>
        <v>5500</v>
      </c>
      <c r="F154" s="21">
        <f t="array" ref="F154">COUNTIFS('Sources - Observations (Berlin)'!$A$5:$A$314,$A154,'Sources - Observations (Berlin)'!$B$5:$B$314,$B154)</f>
        <v>2</v>
      </c>
      <c r="G154" s="41">
        <f t="array" ref="G154">IFERROR(AVERAGEIFS('Sources - Observations (Berlin)'!$C$5:$C$314,'Sources - Observations (Berlin)'!$A$5:$A$314,$A154,'Sources - Observations (Berlin)'!$B$5:$B$314,$B154),"")</f>
        <v>7750</v>
      </c>
      <c r="H154" s="106" t="s">
        <v>295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104" t="s">
        <v>57</v>
      </c>
      <c r="B155" s="21">
        <v>1994.0</v>
      </c>
      <c r="C155" s="24">
        <f t="array" ref="C155">IFERROR(AVERAGEIFS('Sources - Observations (Berlin)'!$C$5:$C$314,'Sources - Observations (Berlin)'!$A$5:$A$314,$A155,'Sources - Observations (Berlin)'!$B$5:$B$314,$B155,'Sources - Observations (Berlin)'!$D$5:$D$314,"press"),"")</f>
        <v>900</v>
      </c>
      <c r="D155" s="109" t="str">
        <f t="array" ref="D155">IFERROR(AVERAGEIFS('Sources - Observations (Berlin)'!$C$5:$C$314,'Sources - Observations (Berlin)'!$A$5:$A$314,$A155,'Sources - Observations (Berlin)'!$B$5:$B$314,$B155,'Sources - Observations (Berlin)'!$D$5:$D$314,"organisers"),"")</f>
        <v/>
      </c>
      <c r="E155" s="109" t="str">
        <f t="array" ref="E155">IFERROR(AVERAGEIFS('Sources - Observations (Berlin)'!$C$5:$C$314,'Sources - Observations (Berlin)'!$A$5:$A$314,$A155,'Sources - Observations (Berlin)'!$B$5:$B$314,$B155,'Sources - Observations (Berlin)'!$D$5:$D$314,"police"),"")</f>
        <v/>
      </c>
      <c r="F155" s="21">
        <f t="array" ref="F155">COUNTIFS('Sources - Observations (Berlin)'!$A$5:$A$314,$A155,'Sources - Observations (Berlin)'!$B$5:$B$314,$B155)</f>
        <v>2</v>
      </c>
      <c r="G155" s="41">
        <f t="array" ref="G155">IFERROR(AVERAGEIFS('Sources - Observations (Berlin)'!$C$5:$C$314,'Sources - Observations (Berlin)'!$A$5:$A$314,$A155,'Sources - Observations (Berlin)'!$B$5:$B$314,$B155),"")</f>
        <v>900</v>
      </c>
      <c r="H155" s="106" t="s">
        <v>295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104" t="s">
        <v>57</v>
      </c>
      <c r="B156" s="21">
        <v>1995.0</v>
      </c>
      <c r="C156" s="24">
        <f t="array" ref="C156">IFERROR(AVERAGEIFS('Sources - Observations (Berlin)'!$C$5:$C$314,'Sources - Observations (Berlin)'!$A$5:$A$314,$A156,'Sources - Observations (Berlin)'!$B$5:$B$314,$B156,'Sources - Observations (Berlin)'!$D$5:$D$314,"press"),"")</f>
        <v>2250</v>
      </c>
      <c r="D156" s="109" t="str">
        <f t="array" ref="D156">IFERROR(AVERAGEIFS('Sources - Observations (Berlin)'!$C$5:$C$314,'Sources - Observations (Berlin)'!$A$5:$A$314,$A156,'Sources - Observations (Berlin)'!$B$5:$B$314,$B156,'Sources - Observations (Berlin)'!$D$5:$D$314,"organisers"),"")</f>
        <v/>
      </c>
      <c r="E156" s="109" t="str">
        <f t="array" ref="E156">IFERROR(AVERAGEIFS('Sources - Observations (Berlin)'!$C$5:$C$314,'Sources - Observations (Berlin)'!$A$5:$A$314,$A156,'Sources - Observations (Berlin)'!$B$5:$B$314,$B156,'Sources - Observations (Berlin)'!$D$5:$D$314,"police"),"")</f>
        <v/>
      </c>
      <c r="F156" s="21">
        <f t="array" ref="F156">COUNTIFS('Sources - Observations (Berlin)'!$A$5:$A$314,$A156,'Sources - Observations (Berlin)'!$B$5:$B$314,$B156)</f>
        <v>2</v>
      </c>
      <c r="G156" s="41">
        <f t="array" ref="G156">IFERROR(AVERAGEIFS('Sources - Observations (Berlin)'!$C$5:$C$314,'Sources - Observations (Berlin)'!$A$5:$A$314,$A156,'Sources - Observations (Berlin)'!$B$5:$B$314,$B156),"")</f>
        <v>2250</v>
      </c>
      <c r="H156" s="106" t="s">
        <v>295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29"/>
      <c r="B157" s="30"/>
      <c r="C157" s="30"/>
      <c r="D157" s="30"/>
      <c r="E157" s="30"/>
      <c r="F157" s="30"/>
      <c r="G157" s="30"/>
      <c r="H157" s="3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0" customHeight="1">
      <c r="A158" s="36" t="s">
        <v>297</v>
      </c>
      <c r="B158" s="37"/>
      <c r="C158" s="37"/>
      <c r="D158" s="37"/>
      <c r="E158" s="37"/>
      <c r="F158" s="37"/>
      <c r="G158" s="37"/>
      <c r="H158" s="38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158:H158"/>
  </mergeCells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8.0"/>
    <col customWidth="1" min="3" max="3" width="14.0"/>
    <col customWidth="1" min="4" max="4" width="45.0"/>
    <col customWidth="1" min="5" max="24" width="8.43"/>
  </cols>
  <sheetData>
    <row r="1" ht="25.5" customHeight="1">
      <c r="A1" s="16" t="s">
        <v>298</v>
      </c>
      <c r="B1" s="2"/>
      <c r="C1" s="2"/>
      <c r="D1" s="2"/>
      <c r="E1" s="110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299</v>
      </c>
      <c r="B2" s="6"/>
      <c r="C2" s="6"/>
      <c r="D2" s="6"/>
      <c r="E2" s="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7"/>
      <c r="B3" s="18"/>
      <c r="C3" s="18"/>
      <c r="D3" s="18"/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20" t="s">
        <v>114</v>
      </c>
      <c r="B4" s="20" t="s">
        <v>11</v>
      </c>
      <c r="C4" s="20" t="s">
        <v>115</v>
      </c>
      <c r="D4" s="20" t="s">
        <v>117</v>
      </c>
      <c r="E4" s="11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04" t="s">
        <v>40</v>
      </c>
      <c r="B5" s="21">
        <v>1990.0</v>
      </c>
      <c r="C5" s="24">
        <v>5000.0</v>
      </c>
      <c r="D5" s="106" t="s">
        <v>300</v>
      </c>
      <c r="E5" s="11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04" t="s">
        <v>40</v>
      </c>
      <c r="B6" s="21">
        <v>1990.0</v>
      </c>
      <c r="C6" s="24">
        <v>12000.0</v>
      </c>
      <c r="D6" s="106" t="s">
        <v>301</v>
      </c>
      <c r="E6" s="11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04" t="s">
        <v>40</v>
      </c>
      <c r="B7" s="21">
        <v>1990.0</v>
      </c>
      <c r="C7" s="24">
        <v>10000.0</v>
      </c>
      <c r="D7" s="106" t="s">
        <v>302</v>
      </c>
      <c r="E7" s="11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04" t="s">
        <v>40</v>
      </c>
      <c r="B8" s="21">
        <v>1990.0</v>
      </c>
      <c r="C8" s="24">
        <v>30000.0</v>
      </c>
      <c r="D8" s="106" t="s">
        <v>303</v>
      </c>
      <c r="E8" s="11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04" t="s">
        <v>40</v>
      </c>
      <c r="B9" s="21">
        <v>1991.0</v>
      </c>
      <c r="C9" s="24">
        <v>10000.0</v>
      </c>
      <c r="D9" s="106" t="s">
        <v>300</v>
      </c>
      <c r="E9" s="11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04" t="s">
        <v>40</v>
      </c>
      <c r="B10" s="21">
        <v>1991.0</v>
      </c>
      <c r="C10" s="24">
        <v>15000.0</v>
      </c>
      <c r="D10" s="106" t="s">
        <v>303</v>
      </c>
      <c r="E10" s="11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04" t="s">
        <v>40</v>
      </c>
      <c r="B11" s="21">
        <v>1992.0</v>
      </c>
      <c r="C11" s="24">
        <v>15000.0</v>
      </c>
      <c r="D11" s="106" t="s">
        <v>300</v>
      </c>
      <c r="E11" s="11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04" t="s">
        <v>40</v>
      </c>
      <c r="B12" s="21">
        <v>1992.0</v>
      </c>
      <c r="C12" s="24">
        <v>30000.0</v>
      </c>
      <c r="D12" s="106" t="s">
        <v>302</v>
      </c>
      <c r="E12" s="11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04" t="s">
        <v>40</v>
      </c>
      <c r="B13" s="21">
        <v>1992.0</v>
      </c>
      <c r="C13" s="24">
        <v>4000.0</v>
      </c>
      <c r="D13" s="106" t="s">
        <v>303</v>
      </c>
      <c r="E13" s="11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04" t="s">
        <v>40</v>
      </c>
      <c r="B14" s="21">
        <v>1992.0</v>
      </c>
      <c r="C14" s="24">
        <v>47000.0</v>
      </c>
      <c r="D14" s="106" t="s">
        <v>304</v>
      </c>
      <c r="E14" s="11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04" t="s">
        <v>40</v>
      </c>
      <c r="B15" s="21">
        <v>1993.0</v>
      </c>
      <c r="C15" s="24">
        <v>1500.0</v>
      </c>
      <c r="D15" s="106" t="s">
        <v>305</v>
      </c>
      <c r="E15" s="11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04" t="s">
        <v>40</v>
      </c>
      <c r="B16" s="21">
        <v>1993.0</v>
      </c>
      <c r="C16" s="24">
        <v>4000.0</v>
      </c>
      <c r="D16" s="106" t="s">
        <v>306</v>
      </c>
      <c r="E16" s="11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04" t="s">
        <v>40</v>
      </c>
      <c r="B17" s="21">
        <v>1993.0</v>
      </c>
      <c r="C17" s="24">
        <v>13000.0</v>
      </c>
      <c r="D17" s="106" t="s">
        <v>304</v>
      </c>
      <c r="E17" s="11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04" t="s">
        <v>40</v>
      </c>
      <c r="B18" s="21">
        <v>1994.0</v>
      </c>
      <c r="C18" s="24">
        <v>2000.0</v>
      </c>
      <c r="D18" s="106" t="s">
        <v>303</v>
      </c>
      <c r="E18" s="11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04" t="s">
        <v>40</v>
      </c>
      <c r="B19" s="21">
        <v>1994.0</v>
      </c>
      <c r="C19" s="24">
        <v>4000.0</v>
      </c>
      <c r="D19" s="106" t="s">
        <v>307</v>
      </c>
      <c r="E19" s="11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104" t="s">
        <v>40</v>
      </c>
      <c r="B20" s="21">
        <v>1995.0</v>
      </c>
      <c r="C20" s="24">
        <v>2000.0</v>
      </c>
      <c r="D20" s="106" t="s">
        <v>300</v>
      </c>
      <c r="E20" s="11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104" t="s">
        <v>40</v>
      </c>
      <c r="B21" s="21">
        <v>1995.0</v>
      </c>
      <c r="C21" s="24">
        <v>2000.0</v>
      </c>
      <c r="D21" s="106" t="s">
        <v>301</v>
      </c>
      <c r="E21" s="11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104" t="s">
        <v>40</v>
      </c>
      <c r="B22" s="21">
        <v>1995.0</v>
      </c>
      <c r="C22" s="24">
        <v>10000.0</v>
      </c>
      <c r="D22" s="106" t="s">
        <v>302</v>
      </c>
      <c r="E22" s="11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04" t="s">
        <v>40</v>
      </c>
      <c r="B23" s="21">
        <v>1995.0</v>
      </c>
      <c r="C23" s="24">
        <v>4000.0</v>
      </c>
      <c r="D23" s="106" t="s">
        <v>303</v>
      </c>
      <c r="E23" s="11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04" t="s">
        <v>40</v>
      </c>
      <c r="B24" s="21">
        <v>1996.0</v>
      </c>
      <c r="C24" s="24">
        <v>2000.0</v>
      </c>
      <c r="D24" s="106" t="s">
        <v>300</v>
      </c>
      <c r="E24" s="11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04" t="s">
        <v>40</v>
      </c>
      <c r="B25" s="21">
        <v>1996.0</v>
      </c>
      <c r="C25" s="24">
        <v>2000.0</v>
      </c>
      <c r="D25" s="106" t="s">
        <v>301</v>
      </c>
      <c r="E25" s="11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04" t="s">
        <v>40</v>
      </c>
      <c r="B26" s="21">
        <v>1996.0</v>
      </c>
      <c r="C26" s="24">
        <v>10000.0</v>
      </c>
      <c r="D26" s="106" t="s">
        <v>302</v>
      </c>
      <c r="E26" s="11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04" t="s">
        <v>40</v>
      </c>
      <c r="B27" s="21">
        <v>1996.0</v>
      </c>
      <c r="C27" s="24">
        <v>4000.0</v>
      </c>
      <c r="D27" s="106" t="s">
        <v>307</v>
      </c>
      <c r="E27" s="11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04" t="s">
        <v>40</v>
      </c>
      <c r="B28" s="21">
        <v>1997.0</v>
      </c>
      <c r="C28" s="24">
        <v>2000.0</v>
      </c>
      <c r="D28" s="106" t="s">
        <v>300</v>
      </c>
      <c r="E28" s="1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04" t="s">
        <v>40</v>
      </c>
      <c r="B29" s="21">
        <v>1997.0</v>
      </c>
      <c r="C29" s="24">
        <v>2000.0</v>
      </c>
      <c r="D29" s="106" t="s">
        <v>301</v>
      </c>
      <c r="E29" s="11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04" t="s">
        <v>40</v>
      </c>
      <c r="B30" s="21">
        <v>1997.0</v>
      </c>
      <c r="C30" s="24">
        <v>2000.0</v>
      </c>
      <c r="D30" s="106" t="s">
        <v>303</v>
      </c>
      <c r="E30" s="11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04" t="s">
        <v>40</v>
      </c>
      <c r="B31" s="21">
        <v>1997.0</v>
      </c>
      <c r="C31" s="24">
        <v>4000.0</v>
      </c>
      <c r="D31" s="106" t="s">
        <v>307</v>
      </c>
      <c r="E31" s="11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04" t="s">
        <v>40</v>
      </c>
      <c r="B32" s="21">
        <v>1998.0</v>
      </c>
      <c r="C32" s="24">
        <v>3000.0</v>
      </c>
      <c r="D32" s="106" t="s">
        <v>301</v>
      </c>
      <c r="E32" s="11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04" t="s">
        <v>40</v>
      </c>
      <c r="B33" s="21">
        <v>1998.0</v>
      </c>
      <c r="C33" s="24">
        <v>6000.0</v>
      </c>
      <c r="D33" s="106" t="s">
        <v>302</v>
      </c>
      <c r="E33" s="11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04" t="s">
        <v>40</v>
      </c>
      <c r="B34" s="21">
        <v>1998.0</v>
      </c>
      <c r="C34" s="24">
        <v>3000.0</v>
      </c>
      <c r="D34" s="106" t="s">
        <v>303</v>
      </c>
      <c r="E34" s="11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04" t="s">
        <v>40</v>
      </c>
      <c r="B35" s="21">
        <v>1999.0</v>
      </c>
      <c r="C35" s="24">
        <v>5000.0</v>
      </c>
      <c r="D35" s="106" t="s">
        <v>300</v>
      </c>
      <c r="E35" s="11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104" t="s">
        <v>40</v>
      </c>
      <c r="B36" s="21">
        <v>1999.0</v>
      </c>
      <c r="C36" s="24">
        <v>5000.0</v>
      </c>
      <c r="D36" s="106" t="s">
        <v>301</v>
      </c>
      <c r="E36" s="11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04" t="s">
        <v>40</v>
      </c>
      <c r="B37" s="21">
        <v>1999.0</v>
      </c>
      <c r="C37" s="24">
        <v>6000.0</v>
      </c>
      <c r="D37" s="106" t="s">
        <v>302</v>
      </c>
      <c r="E37" s="11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104" t="s">
        <v>40</v>
      </c>
      <c r="B38" s="21">
        <v>1999.0</v>
      </c>
      <c r="C38" s="24">
        <v>20000.0</v>
      </c>
      <c r="D38" s="106" t="s">
        <v>303</v>
      </c>
      <c r="E38" s="11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104" t="s">
        <v>40</v>
      </c>
      <c r="B39" s="21">
        <v>1999.0</v>
      </c>
      <c r="C39" s="24">
        <v>10000.0</v>
      </c>
      <c r="D39" s="106" t="s">
        <v>304</v>
      </c>
      <c r="E39" s="11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104" t="s">
        <v>40</v>
      </c>
      <c r="B40" s="21">
        <v>2000.0</v>
      </c>
      <c r="C40" s="24">
        <v>2000.0</v>
      </c>
      <c r="D40" s="106" t="s">
        <v>300</v>
      </c>
      <c r="E40" s="11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104" t="s">
        <v>40</v>
      </c>
      <c r="B41" s="21">
        <v>2000.0</v>
      </c>
      <c r="C41" s="24">
        <v>2000.0</v>
      </c>
      <c r="D41" s="106" t="s">
        <v>301</v>
      </c>
      <c r="E41" s="11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104" t="s">
        <v>40</v>
      </c>
      <c r="B42" s="21">
        <v>2000.0</v>
      </c>
      <c r="C42" s="24">
        <v>3500.0</v>
      </c>
      <c r="D42" s="106" t="s">
        <v>302</v>
      </c>
      <c r="E42" s="11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104" t="s">
        <v>40</v>
      </c>
      <c r="B43" s="21">
        <v>2000.0</v>
      </c>
      <c r="C43" s="24">
        <v>1500.0</v>
      </c>
      <c r="D43" s="106" t="s">
        <v>303</v>
      </c>
      <c r="E43" s="111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104" t="s">
        <v>40</v>
      </c>
      <c r="B44" s="21">
        <v>2001.0</v>
      </c>
      <c r="C44" s="24">
        <v>6000.0</v>
      </c>
      <c r="D44" s="106" t="s">
        <v>300</v>
      </c>
      <c r="E44" s="111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104" t="s">
        <v>40</v>
      </c>
      <c r="B45" s="21">
        <v>2001.0</v>
      </c>
      <c r="C45" s="24">
        <v>6000.0</v>
      </c>
      <c r="D45" s="106" t="s">
        <v>301</v>
      </c>
      <c r="E45" s="111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104" t="s">
        <v>40</v>
      </c>
      <c r="B46" s="21">
        <v>2001.0</v>
      </c>
      <c r="C46" s="24">
        <v>10000.0</v>
      </c>
      <c r="D46" s="106" t="s">
        <v>302</v>
      </c>
      <c r="E46" s="11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104" t="s">
        <v>40</v>
      </c>
      <c r="B47" s="21">
        <v>2001.0</v>
      </c>
      <c r="C47" s="24">
        <v>8000.0</v>
      </c>
      <c r="D47" s="106" t="s">
        <v>304</v>
      </c>
      <c r="E47" s="11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104" t="s">
        <v>40</v>
      </c>
      <c r="B48" s="21">
        <v>2002.0</v>
      </c>
      <c r="C48" s="24">
        <v>1000.0</v>
      </c>
      <c r="D48" s="106" t="s">
        <v>300</v>
      </c>
      <c r="E48" s="11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104" t="s">
        <v>40</v>
      </c>
      <c r="B49" s="21">
        <v>2002.0</v>
      </c>
      <c r="C49" s="24">
        <v>1000.0</v>
      </c>
      <c r="D49" s="106" t="s">
        <v>301</v>
      </c>
      <c r="E49" s="11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104" t="s">
        <v>40</v>
      </c>
      <c r="B50" s="21">
        <v>2002.0</v>
      </c>
      <c r="C50" s="24">
        <v>4000.0</v>
      </c>
      <c r="D50" s="106" t="s">
        <v>302</v>
      </c>
      <c r="E50" s="11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104" t="s">
        <v>40</v>
      </c>
      <c r="B51" s="21">
        <v>2002.0</v>
      </c>
      <c r="C51" s="24">
        <v>2500.0</v>
      </c>
      <c r="D51" s="106" t="s">
        <v>304</v>
      </c>
      <c r="E51" s="11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104" t="s">
        <v>40</v>
      </c>
      <c r="B52" s="21">
        <v>2002.0</v>
      </c>
      <c r="C52" s="24">
        <v>2000.0</v>
      </c>
      <c r="D52" s="106" t="s">
        <v>308</v>
      </c>
      <c r="E52" s="11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104" t="s">
        <v>40</v>
      </c>
      <c r="B53" s="21">
        <v>2003.0</v>
      </c>
      <c r="C53" s="24">
        <v>5000.0</v>
      </c>
      <c r="D53" s="106" t="s">
        <v>301</v>
      </c>
      <c r="E53" s="11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104" t="s">
        <v>40</v>
      </c>
      <c r="B54" s="21">
        <v>2003.0</v>
      </c>
      <c r="C54" s="24">
        <v>3000.0</v>
      </c>
      <c r="D54" s="106" t="s">
        <v>309</v>
      </c>
      <c r="E54" s="11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104" t="s">
        <v>40</v>
      </c>
      <c r="B55" s="21">
        <v>2003.0</v>
      </c>
      <c r="C55" s="24">
        <v>2000.0</v>
      </c>
      <c r="D55" s="106" t="s">
        <v>310</v>
      </c>
      <c r="E55" s="11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104" t="s">
        <v>40</v>
      </c>
      <c r="B56" s="21">
        <v>2004.0</v>
      </c>
      <c r="C56" s="24">
        <v>500.0</v>
      </c>
      <c r="D56" s="106" t="s">
        <v>300</v>
      </c>
      <c r="E56" s="11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104" t="s">
        <v>40</v>
      </c>
      <c r="B57" s="21">
        <v>2004.0</v>
      </c>
      <c r="C57" s="24">
        <v>1000.0</v>
      </c>
      <c r="D57" s="106" t="s">
        <v>302</v>
      </c>
      <c r="E57" s="11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104" t="s">
        <v>40</v>
      </c>
      <c r="B58" s="21">
        <v>2004.0</v>
      </c>
      <c r="C58" s="24">
        <v>500.0</v>
      </c>
      <c r="D58" s="106" t="s">
        <v>309</v>
      </c>
      <c r="E58" s="11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104" t="s">
        <v>40</v>
      </c>
      <c r="B59" s="21">
        <v>2005.0</v>
      </c>
      <c r="C59" s="24">
        <v>500.0</v>
      </c>
      <c r="D59" s="106" t="s">
        <v>300</v>
      </c>
      <c r="E59" s="11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104" t="s">
        <v>40</v>
      </c>
      <c r="B60" s="21">
        <v>2005.0</v>
      </c>
      <c r="C60" s="24">
        <v>1000.0</v>
      </c>
      <c r="D60" s="106" t="s">
        <v>302</v>
      </c>
      <c r="E60" s="11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104" t="s">
        <v>40</v>
      </c>
      <c r="B61" s="21">
        <v>2005.0</v>
      </c>
      <c r="C61" s="24">
        <v>1000.0</v>
      </c>
      <c r="D61" s="106" t="s">
        <v>304</v>
      </c>
      <c r="E61" s="11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104" t="s">
        <v>40</v>
      </c>
      <c r="B62" s="21">
        <v>2005.0</v>
      </c>
      <c r="C62" s="24">
        <v>400.0</v>
      </c>
      <c r="D62" s="106" t="s">
        <v>309</v>
      </c>
      <c r="E62" s="11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104" t="s">
        <v>40</v>
      </c>
      <c r="B63" s="21">
        <v>2005.0</v>
      </c>
      <c r="C63" s="24">
        <v>400.0</v>
      </c>
      <c r="D63" s="106" t="s">
        <v>311</v>
      </c>
      <c r="E63" s="11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104" t="s">
        <v>40</v>
      </c>
      <c r="B64" s="21">
        <v>2005.0</v>
      </c>
      <c r="C64" s="24">
        <v>500.0</v>
      </c>
      <c r="D64" s="106" t="s">
        <v>312</v>
      </c>
      <c r="E64" s="11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104" t="s">
        <v>40</v>
      </c>
      <c r="B65" s="21">
        <v>2006.0</v>
      </c>
      <c r="C65" s="24">
        <v>2000.0</v>
      </c>
      <c r="D65" s="106" t="s">
        <v>313</v>
      </c>
      <c r="E65" s="11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104" t="s">
        <v>40</v>
      </c>
      <c r="B66" s="21">
        <v>2006.0</v>
      </c>
      <c r="C66" s="24">
        <v>1000.0</v>
      </c>
      <c r="D66" s="106" t="s">
        <v>301</v>
      </c>
      <c r="E66" s="11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104" t="s">
        <v>40</v>
      </c>
      <c r="B67" s="21">
        <v>2006.0</v>
      </c>
      <c r="C67" s="24">
        <v>600.0</v>
      </c>
      <c r="D67" s="112" t="s">
        <v>314</v>
      </c>
      <c r="E67" s="11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104" t="s">
        <v>40</v>
      </c>
      <c r="B68" s="21">
        <v>2006.0</v>
      </c>
      <c r="C68" s="24">
        <v>2000.0</v>
      </c>
      <c r="D68" s="106" t="s">
        <v>304</v>
      </c>
      <c r="E68" s="11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104" t="s">
        <v>40</v>
      </c>
      <c r="B69" s="21">
        <v>2006.0</v>
      </c>
      <c r="C69" s="24">
        <v>2000.0</v>
      </c>
      <c r="D69" s="106" t="s">
        <v>315</v>
      </c>
      <c r="E69" s="11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104" t="s">
        <v>40</v>
      </c>
      <c r="B70" s="21">
        <v>2007.0</v>
      </c>
      <c r="C70" s="24">
        <v>800.0</v>
      </c>
      <c r="D70" s="106" t="s">
        <v>300</v>
      </c>
      <c r="E70" s="11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104" t="s">
        <v>40</v>
      </c>
      <c r="B71" s="21">
        <v>2007.0</v>
      </c>
      <c r="C71" s="24">
        <v>2000.0</v>
      </c>
      <c r="D71" s="106" t="s">
        <v>302</v>
      </c>
      <c r="E71" s="11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104" t="s">
        <v>40</v>
      </c>
      <c r="B72" s="21">
        <v>2007.0</v>
      </c>
      <c r="C72" s="24">
        <v>2000.0</v>
      </c>
      <c r="D72" s="106" t="s">
        <v>304</v>
      </c>
      <c r="E72" s="11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104" t="s">
        <v>40</v>
      </c>
      <c r="B73" s="21">
        <v>2007.0</v>
      </c>
      <c r="C73" s="24">
        <v>800.0</v>
      </c>
      <c r="D73" s="106" t="s">
        <v>308</v>
      </c>
      <c r="E73" s="11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104" t="s">
        <v>40</v>
      </c>
      <c r="B74" s="21">
        <v>2008.0</v>
      </c>
      <c r="C74" s="24">
        <v>2000.0</v>
      </c>
      <c r="D74" s="106" t="s">
        <v>300</v>
      </c>
      <c r="E74" s="11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104" t="s">
        <v>40</v>
      </c>
      <c r="B75" s="21">
        <v>2008.0</v>
      </c>
      <c r="C75" s="24">
        <v>2000.0</v>
      </c>
      <c r="D75" s="106" t="s">
        <v>301</v>
      </c>
      <c r="E75" s="11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104" t="s">
        <v>40</v>
      </c>
      <c r="B76" s="21">
        <v>2008.0</v>
      </c>
      <c r="C76" s="24">
        <v>2500.0</v>
      </c>
      <c r="D76" s="106" t="s">
        <v>316</v>
      </c>
      <c r="E76" s="11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104" t="s">
        <v>40</v>
      </c>
      <c r="B77" s="21">
        <v>2008.0</v>
      </c>
      <c r="C77" s="24">
        <v>2000.0</v>
      </c>
      <c r="D77" s="106" t="s">
        <v>302</v>
      </c>
      <c r="E77" s="11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104" t="s">
        <v>40</v>
      </c>
      <c r="B78" s="21">
        <v>2008.0</v>
      </c>
      <c r="C78" s="24">
        <v>2000.0</v>
      </c>
      <c r="D78" s="106" t="s">
        <v>304</v>
      </c>
      <c r="E78" s="11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104" t="s">
        <v>40</v>
      </c>
      <c r="B79" s="21">
        <v>2008.0</v>
      </c>
      <c r="C79" s="24">
        <v>2000.0</v>
      </c>
      <c r="D79" s="106" t="s">
        <v>309</v>
      </c>
      <c r="E79" s="11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104" t="s">
        <v>40</v>
      </c>
      <c r="B80" s="21">
        <v>2008.0</v>
      </c>
      <c r="C80" s="24">
        <v>3000.0</v>
      </c>
      <c r="D80" s="106" t="s">
        <v>308</v>
      </c>
      <c r="E80" s="11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104" t="s">
        <v>40</v>
      </c>
      <c r="B81" s="21">
        <v>2009.0</v>
      </c>
      <c r="C81" s="24">
        <v>1000.0</v>
      </c>
      <c r="D81" s="106" t="s">
        <v>300</v>
      </c>
      <c r="E81" s="11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104" t="s">
        <v>40</v>
      </c>
      <c r="B82" s="21">
        <v>2009.0</v>
      </c>
      <c r="C82" s="24">
        <v>500.0</v>
      </c>
      <c r="D82" s="106" t="s">
        <v>301</v>
      </c>
      <c r="E82" s="11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104" t="s">
        <v>40</v>
      </c>
      <c r="B83" s="21">
        <v>2009.0</v>
      </c>
      <c r="C83" s="24">
        <v>1000.0</v>
      </c>
      <c r="D83" s="106" t="s">
        <v>302</v>
      </c>
      <c r="E83" s="11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104" t="s">
        <v>40</v>
      </c>
      <c r="B84" s="21">
        <v>2009.0</v>
      </c>
      <c r="C84" s="24">
        <v>2000.0</v>
      </c>
      <c r="D84" s="106" t="s">
        <v>304</v>
      </c>
      <c r="E84" s="11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104" t="s">
        <v>40</v>
      </c>
      <c r="B85" s="21">
        <v>2009.0</v>
      </c>
      <c r="C85" s="24">
        <v>1000.0</v>
      </c>
      <c r="D85" s="106" t="s">
        <v>309</v>
      </c>
      <c r="E85" s="111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104" t="s">
        <v>40</v>
      </c>
      <c r="B86" s="21">
        <v>2009.0</v>
      </c>
      <c r="C86" s="24">
        <v>1500.0</v>
      </c>
      <c r="D86" s="106" t="s">
        <v>311</v>
      </c>
      <c r="E86" s="111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104" t="s">
        <v>40</v>
      </c>
      <c r="B87" s="21">
        <v>2009.0</v>
      </c>
      <c r="C87" s="24">
        <v>2500.0</v>
      </c>
      <c r="D87" s="106" t="s">
        <v>308</v>
      </c>
      <c r="E87" s="111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104" t="s">
        <v>40</v>
      </c>
      <c r="B88" s="21">
        <v>2010.0</v>
      </c>
      <c r="C88" s="24">
        <v>1000.0</v>
      </c>
      <c r="D88" s="106" t="s">
        <v>300</v>
      </c>
      <c r="E88" s="111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104" t="s">
        <v>40</v>
      </c>
      <c r="B89" s="21">
        <v>2010.0</v>
      </c>
      <c r="C89" s="24">
        <v>300.0</v>
      </c>
      <c r="D89" s="106" t="s">
        <v>301</v>
      </c>
      <c r="E89" s="111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104" t="s">
        <v>40</v>
      </c>
      <c r="B90" s="21">
        <v>2010.0</v>
      </c>
      <c r="C90" s="24">
        <v>200.0</v>
      </c>
      <c r="D90" s="106" t="s">
        <v>302</v>
      </c>
      <c r="E90" s="111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104" t="s">
        <v>40</v>
      </c>
      <c r="B91" s="21">
        <v>2010.0</v>
      </c>
      <c r="C91" s="24">
        <v>500.0</v>
      </c>
      <c r="D91" s="106" t="s">
        <v>309</v>
      </c>
      <c r="E91" s="111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104" t="s">
        <v>40</v>
      </c>
      <c r="B92" s="21">
        <v>2010.0</v>
      </c>
      <c r="C92" s="24">
        <v>200.0</v>
      </c>
      <c r="D92" s="106" t="s">
        <v>310</v>
      </c>
      <c r="E92" s="111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104" t="s">
        <v>40</v>
      </c>
      <c r="B93" s="21">
        <v>2011.0</v>
      </c>
      <c r="C93" s="24">
        <v>200.0</v>
      </c>
      <c r="D93" s="106" t="s">
        <v>300</v>
      </c>
      <c r="E93" s="111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104" t="s">
        <v>40</v>
      </c>
      <c r="B94" s="21">
        <v>2011.0</v>
      </c>
      <c r="C94" s="24">
        <v>100.0</v>
      </c>
      <c r="D94" s="106" t="s">
        <v>301</v>
      </c>
      <c r="E94" s="111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104" t="s">
        <v>40</v>
      </c>
      <c r="B95" s="21">
        <v>2011.0</v>
      </c>
      <c r="C95" s="24">
        <v>100.0</v>
      </c>
      <c r="D95" s="106" t="s">
        <v>309</v>
      </c>
      <c r="E95" s="111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104" t="s">
        <v>40</v>
      </c>
      <c r="B96" s="21">
        <v>2012.0</v>
      </c>
      <c r="C96" s="24">
        <v>5000.0</v>
      </c>
      <c r="D96" s="106" t="s">
        <v>300</v>
      </c>
      <c r="E96" s="111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104" t="s">
        <v>40</v>
      </c>
      <c r="B97" s="21">
        <v>2012.0</v>
      </c>
      <c r="C97" s="24">
        <v>15000.0</v>
      </c>
      <c r="D97" s="106" t="s">
        <v>302</v>
      </c>
      <c r="E97" s="111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104" t="s">
        <v>40</v>
      </c>
      <c r="B98" s="21">
        <v>2012.0</v>
      </c>
      <c r="C98" s="24">
        <v>12000.0</v>
      </c>
      <c r="D98" s="106" t="s">
        <v>308</v>
      </c>
      <c r="E98" s="111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104" t="s">
        <v>40</v>
      </c>
      <c r="B99" s="21">
        <v>2012.0</v>
      </c>
      <c r="C99" s="24">
        <v>15000.0</v>
      </c>
      <c r="D99" s="106" t="s">
        <v>317</v>
      </c>
      <c r="E99" s="111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104" t="s">
        <v>40</v>
      </c>
      <c r="B100" s="21">
        <v>2013.0</v>
      </c>
      <c r="C100" s="24">
        <v>20000.0</v>
      </c>
      <c r="D100" s="106" t="s">
        <v>302</v>
      </c>
      <c r="E100" s="111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104" t="s">
        <v>40</v>
      </c>
      <c r="B101" s="21">
        <v>2013.0</v>
      </c>
      <c r="C101" s="24">
        <v>20000.0</v>
      </c>
      <c r="D101" s="106" t="s">
        <v>308</v>
      </c>
      <c r="E101" s="11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104" t="s">
        <v>40</v>
      </c>
      <c r="B102" s="21">
        <v>2013.0</v>
      </c>
      <c r="C102" s="24">
        <v>20000.0</v>
      </c>
      <c r="D102" s="106" t="s">
        <v>317</v>
      </c>
      <c r="E102" s="111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104" t="s">
        <v>40</v>
      </c>
      <c r="B103" s="21">
        <v>2014.0</v>
      </c>
      <c r="C103" s="24">
        <v>10000.0</v>
      </c>
      <c r="D103" s="106" t="s">
        <v>302</v>
      </c>
      <c r="E103" s="11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104" t="s">
        <v>40</v>
      </c>
      <c r="B104" s="21">
        <v>2014.0</v>
      </c>
      <c r="C104" s="24">
        <v>6000.0</v>
      </c>
      <c r="D104" s="106" t="s">
        <v>308</v>
      </c>
      <c r="E104" s="11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104" t="s">
        <v>40</v>
      </c>
      <c r="B105" s="21">
        <v>2014.0</v>
      </c>
      <c r="C105" s="24">
        <v>6000.0</v>
      </c>
      <c r="D105" s="106" t="s">
        <v>318</v>
      </c>
      <c r="E105" s="11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104" t="s">
        <v>40</v>
      </c>
      <c r="B106" s="21">
        <v>2015.0</v>
      </c>
      <c r="C106" s="24">
        <v>0.0</v>
      </c>
      <c r="D106" s="106" t="s">
        <v>319</v>
      </c>
      <c r="E106" s="111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104" t="s">
        <v>40</v>
      </c>
      <c r="B107" s="21">
        <v>2016.0</v>
      </c>
      <c r="C107" s="24">
        <v>1000.0</v>
      </c>
      <c r="D107" s="106" t="s">
        <v>320</v>
      </c>
      <c r="E107" s="111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104" t="s">
        <v>40</v>
      </c>
      <c r="B108" s="21">
        <v>2016.0</v>
      </c>
      <c r="C108" s="24">
        <v>10500.0</v>
      </c>
      <c r="D108" s="112" t="s">
        <v>321</v>
      </c>
      <c r="E108" s="111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104" t="s">
        <v>40</v>
      </c>
      <c r="B109" s="21">
        <v>2016.0</v>
      </c>
      <c r="C109" s="24">
        <v>5000.0</v>
      </c>
      <c r="D109" s="106" t="s">
        <v>302</v>
      </c>
      <c r="E109" s="111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104" t="s">
        <v>40</v>
      </c>
      <c r="B110" s="21">
        <v>2016.0</v>
      </c>
      <c r="C110" s="24">
        <v>5000.0</v>
      </c>
      <c r="D110" s="106" t="s">
        <v>317</v>
      </c>
      <c r="E110" s="11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104" t="s">
        <v>40</v>
      </c>
      <c r="B111" s="21">
        <v>2017.0</v>
      </c>
      <c r="C111" s="24">
        <v>300.0</v>
      </c>
      <c r="D111" s="106" t="s">
        <v>300</v>
      </c>
      <c r="E111" s="111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104" t="s">
        <v>40</v>
      </c>
      <c r="B112" s="21">
        <v>2017.0</v>
      </c>
      <c r="C112" s="24">
        <v>1000.0</v>
      </c>
      <c r="D112" s="106" t="s">
        <v>322</v>
      </c>
      <c r="E112" s="111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104" t="s">
        <v>40</v>
      </c>
      <c r="B113" s="21">
        <v>2018.0</v>
      </c>
      <c r="C113" s="24">
        <v>1000.0</v>
      </c>
      <c r="D113" s="106" t="s">
        <v>302</v>
      </c>
      <c r="E113" s="111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104" t="s">
        <v>40</v>
      </c>
      <c r="B114" s="21">
        <v>2018.0</v>
      </c>
      <c r="C114" s="24">
        <v>500.0</v>
      </c>
      <c r="D114" s="106" t="s">
        <v>309</v>
      </c>
      <c r="E114" s="111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104" t="s">
        <v>40</v>
      </c>
      <c r="B115" s="21">
        <v>2018.0</v>
      </c>
      <c r="C115" s="24">
        <v>1000.0</v>
      </c>
      <c r="D115" s="106" t="s">
        <v>317</v>
      </c>
      <c r="E115" s="11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104" t="s">
        <v>40</v>
      </c>
      <c r="B116" s="21">
        <v>2018.0</v>
      </c>
      <c r="C116" s="24">
        <v>600.0</v>
      </c>
      <c r="D116" s="106" t="s">
        <v>323</v>
      </c>
      <c r="E116" s="11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104" t="s">
        <v>40</v>
      </c>
      <c r="B117" s="21">
        <v>2019.0</v>
      </c>
      <c r="C117" s="24">
        <v>0.0</v>
      </c>
      <c r="D117" s="106" t="s">
        <v>319</v>
      </c>
      <c r="E117" s="111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104" t="s">
        <v>46</v>
      </c>
      <c r="B118" s="21">
        <v>1990.0</v>
      </c>
      <c r="C118" s="24">
        <v>3000.0</v>
      </c>
      <c r="D118" s="106" t="s">
        <v>324</v>
      </c>
      <c r="E118" s="11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104" t="s">
        <v>46</v>
      </c>
      <c r="B119" s="21">
        <v>1991.0</v>
      </c>
      <c r="C119" s="24">
        <v>300.0</v>
      </c>
      <c r="D119" s="106" t="s">
        <v>325</v>
      </c>
      <c r="E119" s="11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104" t="s">
        <v>46</v>
      </c>
      <c r="B120" s="21">
        <v>1992.0</v>
      </c>
      <c r="C120" s="24">
        <v>300.0</v>
      </c>
      <c r="D120" s="106" t="s">
        <v>256</v>
      </c>
      <c r="E120" s="11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104" t="s">
        <v>46</v>
      </c>
      <c r="B121" s="21">
        <v>1993.0</v>
      </c>
      <c r="C121" s="24">
        <v>300.0</v>
      </c>
      <c r="D121" s="106" t="s">
        <v>256</v>
      </c>
      <c r="E121" s="11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104" t="s">
        <v>46</v>
      </c>
      <c r="B122" s="21">
        <v>1994.0</v>
      </c>
      <c r="C122" s="24">
        <v>300.0</v>
      </c>
      <c r="D122" s="106" t="s">
        <v>325</v>
      </c>
      <c r="E122" s="11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29"/>
      <c r="B123" s="30"/>
      <c r="C123" s="30"/>
      <c r="D123" s="30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36" t="s">
        <v>326</v>
      </c>
      <c r="B124" s="37"/>
      <c r="C124" s="37"/>
      <c r="D124" s="37"/>
      <c r="E124" s="1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124:D124"/>
  </mergeCells>
  <hyperlinks>
    <hyperlink r:id="rId1" ref="D67"/>
    <hyperlink r:id="rId2" ref="D108"/>
  </hyperlinks>
  <printOptions/>
  <pageMargins bottom="1.0" footer="0.0" header="0.0" left="0.75" right="0.75" top="1.0"/>
  <pageSetup orientation="portrait"/>
  <headerFooter>
    <oddFooter>&amp;C000000&amp;P</oddFooter>
  </headerFooter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8.0"/>
    <col customWidth="1" min="3" max="3" width="16.0"/>
    <col customWidth="1" min="4" max="5" width="20.0"/>
    <col customWidth="1" min="6" max="25" width="8.43"/>
  </cols>
  <sheetData>
    <row r="1" ht="25.5" customHeight="1">
      <c r="A1" s="16" t="s">
        <v>327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328</v>
      </c>
      <c r="B2" s="6"/>
      <c r="C2" s="6"/>
      <c r="D2" s="6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7"/>
      <c r="B3" s="18"/>
      <c r="C3" s="18"/>
      <c r="D3" s="18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20" t="s">
        <v>114</v>
      </c>
      <c r="B4" s="20" t="s">
        <v>11</v>
      </c>
      <c r="C4" s="20" t="s">
        <v>292</v>
      </c>
      <c r="D4" s="20" t="s">
        <v>293</v>
      </c>
      <c r="E4" s="20" t="s">
        <v>294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04" t="s">
        <v>40</v>
      </c>
      <c r="B5" s="21">
        <v>1990.0</v>
      </c>
      <c r="C5" s="21">
        <f t="array" ref="C5">COUNTIFS('Sources - Observations (Warsaw)'!$A$5:$A$122,$A5,'Sources - Observations (Warsaw)'!$B$5:$B$122,$B5)</f>
        <v>4</v>
      </c>
      <c r="D5" s="23">
        <f t="array" ref="D5">IFERROR(AVERAGEIFS('Sources - Observations (Warsaw)'!$C$5:$C$140,'Sources - Observations (Warsaw)'!$A$5:$A$140,$A5,'Sources - Observations (Warsaw)'!$B$5:$B$140,$B5),"")</f>
        <v>14250</v>
      </c>
      <c r="E5" s="106" t="s">
        <v>295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04" t="s">
        <v>40</v>
      </c>
      <c r="B6" s="21">
        <v>1991.0</v>
      </c>
      <c r="C6" s="21">
        <f t="array" ref="C6">COUNTIFS('Sources - Observations (Warsaw)'!$A$5:$A$122,$A6,'Sources - Observations (Warsaw)'!$B$5:$B$122,$B6)</f>
        <v>2</v>
      </c>
      <c r="D6" s="23">
        <f t="array" ref="D6">IFERROR(AVERAGEIFS('Sources - Observations (Warsaw)'!$C$5:$C$140,'Sources - Observations (Warsaw)'!$A$5:$A$140,$A6,'Sources - Observations (Warsaw)'!$B$5:$B$140,$B6),"")</f>
        <v>12500</v>
      </c>
      <c r="E6" s="106" t="s">
        <v>295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04" t="s">
        <v>40</v>
      </c>
      <c r="B7" s="21">
        <v>1992.0</v>
      </c>
      <c r="C7" s="21">
        <f t="array" ref="C7">COUNTIFS('Sources - Observations (Warsaw)'!$A$5:$A$122,$A7,'Sources - Observations (Warsaw)'!$B$5:$B$122,$B7)</f>
        <v>4</v>
      </c>
      <c r="D7" s="23">
        <f t="array" ref="D7">IFERROR(AVERAGEIFS('Sources - Observations (Warsaw)'!$C$5:$C$140,'Sources - Observations (Warsaw)'!$A$5:$A$140,$A7,'Sources - Observations (Warsaw)'!$B$5:$B$140,$B7),"")</f>
        <v>24000</v>
      </c>
      <c r="E7" s="106" t="s">
        <v>295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04" t="s">
        <v>40</v>
      </c>
      <c r="B8" s="21">
        <v>1993.0</v>
      </c>
      <c r="C8" s="21">
        <f t="array" ref="C8">COUNTIFS('Sources - Observations (Warsaw)'!$A$5:$A$122,$A8,'Sources - Observations (Warsaw)'!$B$5:$B$122,$B8)</f>
        <v>3</v>
      </c>
      <c r="D8" s="23">
        <f t="array" ref="D8">IFERROR(AVERAGEIFS('Sources - Observations (Warsaw)'!$C$5:$C$140,'Sources - Observations (Warsaw)'!$A$5:$A$140,$A8,'Sources - Observations (Warsaw)'!$B$5:$B$140,$B8),"")</f>
        <v>6166.666667</v>
      </c>
      <c r="E8" s="106" t="s">
        <v>295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04" t="s">
        <v>40</v>
      </c>
      <c r="B9" s="21">
        <v>1994.0</v>
      </c>
      <c r="C9" s="21">
        <f t="array" ref="C9">COUNTIFS('Sources - Observations (Warsaw)'!$A$5:$A$122,$A9,'Sources - Observations (Warsaw)'!$B$5:$B$122,$B9)</f>
        <v>2</v>
      </c>
      <c r="D9" s="23">
        <f t="array" ref="D9">IFERROR(AVERAGEIFS('Sources - Observations (Warsaw)'!$C$5:$C$140,'Sources - Observations (Warsaw)'!$A$5:$A$140,$A9,'Sources - Observations (Warsaw)'!$B$5:$B$140,$B9),"")</f>
        <v>3000</v>
      </c>
      <c r="E9" s="106" t="s">
        <v>295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04" t="s">
        <v>40</v>
      </c>
      <c r="B10" s="21">
        <v>1995.0</v>
      </c>
      <c r="C10" s="21">
        <f t="array" ref="C10">COUNTIFS('Sources - Observations (Warsaw)'!$A$5:$A$122,$A10,'Sources - Observations (Warsaw)'!$B$5:$B$122,$B10)</f>
        <v>4</v>
      </c>
      <c r="D10" s="23">
        <f t="array" ref="D10">IFERROR(AVERAGEIFS('Sources - Observations (Warsaw)'!$C$5:$C$140,'Sources - Observations (Warsaw)'!$A$5:$A$140,$A10,'Sources - Observations (Warsaw)'!$B$5:$B$140,$B10),"")</f>
        <v>4500</v>
      </c>
      <c r="E10" s="106" t="s">
        <v>295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04" t="s">
        <v>40</v>
      </c>
      <c r="B11" s="21">
        <v>1996.0</v>
      </c>
      <c r="C11" s="21">
        <f t="array" ref="C11">COUNTIFS('Sources - Observations (Warsaw)'!$A$5:$A$122,$A11,'Sources - Observations (Warsaw)'!$B$5:$B$122,$B11)</f>
        <v>4</v>
      </c>
      <c r="D11" s="23">
        <f t="array" ref="D11">IFERROR(AVERAGEIFS('Sources - Observations (Warsaw)'!$C$5:$C$140,'Sources - Observations (Warsaw)'!$A$5:$A$140,$A11,'Sources - Observations (Warsaw)'!$B$5:$B$140,$B11),"")</f>
        <v>4500</v>
      </c>
      <c r="E11" s="106" t="s">
        <v>295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04" t="s">
        <v>40</v>
      </c>
      <c r="B12" s="21">
        <v>1997.0</v>
      </c>
      <c r="C12" s="21">
        <f t="array" ref="C12">COUNTIFS('Sources - Observations (Warsaw)'!$A$5:$A$122,$A12,'Sources - Observations (Warsaw)'!$B$5:$B$122,$B12)</f>
        <v>4</v>
      </c>
      <c r="D12" s="23">
        <f t="array" ref="D12">IFERROR(AVERAGEIFS('Sources - Observations (Warsaw)'!$C$5:$C$140,'Sources - Observations (Warsaw)'!$A$5:$A$140,$A12,'Sources - Observations (Warsaw)'!$B$5:$B$140,$B12),"")</f>
        <v>2500</v>
      </c>
      <c r="E12" s="106" t="s">
        <v>295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04" t="s">
        <v>40</v>
      </c>
      <c r="B13" s="21">
        <v>1998.0</v>
      </c>
      <c r="C13" s="21">
        <f t="array" ref="C13">COUNTIFS('Sources - Observations (Warsaw)'!$A$5:$A$122,$A13,'Sources - Observations (Warsaw)'!$B$5:$B$122,$B13)</f>
        <v>3</v>
      </c>
      <c r="D13" s="23">
        <f t="array" ref="D13">IFERROR(AVERAGEIFS('Sources - Observations (Warsaw)'!$C$5:$C$140,'Sources - Observations (Warsaw)'!$A$5:$A$140,$A13,'Sources - Observations (Warsaw)'!$B$5:$B$140,$B13),"")</f>
        <v>4000</v>
      </c>
      <c r="E13" s="106" t="s">
        <v>295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04" t="s">
        <v>40</v>
      </c>
      <c r="B14" s="21">
        <v>1999.0</v>
      </c>
      <c r="C14" s="21">
        <f t="array" ref="C14">COUNTIFS('Sources - Observations (Warsaw)'!$A$5:$A$122,$A14,'Sources - Observations (Warsaw)'!$B$5:$B$122,$B14)</f>
        <v>5</v>
      </c>
      <c r="D14" s="23">
        <f t="array" ref="D14">IFERROR(AVERAGEIFS('Sources - Observations (Warsaw)'!$C$5:$C$140,'Sources - Observations (Warsaw)'!$A$5:$A$140,$A14,'Sources - Observations (Warsaw)'!$B$5:$B$140,$B14),"")</f>
        <v>9200</v>
      </c>
      <c r="E14" s="106" t="s">
        <v>295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04" t="s">
        <v>40</v>
      </c>
      <c r="B15" s="21">
        <v>2000.0</v>
      </c>
      <c r="C15" s="21">
        <f t="array" ref="C15">COUNTIFS('Sources - Observations (Warsaw)'!$A$5:$A$122,$A15,'Sources - Observations (Warsaw)'!$B$5:$B$122,$B15)</f>
        <v>4</v>
      </c>
      <c r="D15" s="23">
        <f t="array" ref="D15">IFERROR(AVERAGEIFS('Sources - Observations (Warsaw)'!$C$5:$C$140,'Sources - Observations (Warsaw)'!$A$5:$A$140,$A15,'Sources - Observations (Warsaw)'!$B$5:$B$140,$B15),"")</f>
        <v>2250</v>
      </c>
      <c r="E15" s="106" t="s">
        <v>295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04" t="s">
        <v>40</v>
      </c>
      <c r="B16" s="21">
        <v>2001.0</v>
      </c>
      <c r="C16" s="21">
        <f t="array" ref="C16">COUNTIFS('Sources - Observations (Warsaw)'!$A$5:$A$122,$A16,'Sources - Observations (Warsaw)'!$B$5:$B$122,$B16)</f>
        <v>4</v>
      </c>
      <c r="D16" s="23">
        <f t="array" ref="D16">IFERROR(AVERAGEIFS('Sources - Observations (Warsaw)'!$C$5:$C$140,'Sources - Observations (Warsaw)'!$A$5:$A$140,$A16,'Sources - Observations (Warsaw)'!$B$5:$B$140,$B16),"")</f>
        <v>7500</v>
      </c>
      <c r="E16" s="106" t="s">
        <v>295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04" t="s">
        <v>40</v>
      </c>
      <c r="B17" s="21">
        <v>2002.0</v>
      </c>
      <c r="C17" s="21">
        <f t="array" ref="C17">COUNTIFS('Sources - Observations (Warsaw)'!$A$5:$A$122,$A17,'Sources - Observations (Warsaw)'!$B$5:$B$122,$B17)</f>
        <v>5</v>
      </c>
      <c r="D17" s="23">
        <f t="array" ref="D17">IFERROR(AVERAGEIFS('Sources - Observations (Warsaw)'!$C$5:$C$140,'Sources - Observations (Warsaw)'!$A$5:$A$140,$A17,'Sources - Observations (Warsaw)'!$B$5:$B$140,$B17),"")</f>
        <v>2100</v>
      </c>
      <c r="E17" s="106" t="s">
        <v>295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04" t="s">
        <v>40</v>
      </c>
      <c r="B18" s="21">
        <v>2003.0</v>
      </c>
      <c r="C18" s="21">
        <f t="array" ref="C18">COUNTIFS('Sources - Observations (Warsaw)'!$A$5:$A$122,$A18,'Sources - Observations (Warsaw)'!$B$5:$B$122,$B18)</f>
        <v>3</v>
      </c>
      <c r="D18" s="23">
        <f t="array" ref="D18">IFERROR(AVERAGEIFS('Sources - Observations (Warsaw)'!$C$5:$C$140,'Sources - Observations (Warsaw)'!$A$5:$A$140,$A18,'Sources - Observations (Warsaw)'!$B$5:$B$140,$B18),"")</f>
        <v>3333.333333</v>
      </c>
      <c r="E18" s="106" t="s">
        <v>295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04" t="s">
        <v>40</v>
      </c>
      <c r="B19" s="21">
        <v>2004.0</v>
      </c>
      <c r="C19" s="21">
        <f t="array" ref="C19">COUNTIFS('Sources - Observations (Warsaw)'!$A$5:$A$122,$A19,'Sources - Observations (Warsaw)'!$B$5:$B$122,$B19)</f>
        <v>3</v>
      </c>
      <c r="D19" s="23">
        <f t="array" ref="D19">IFERROR(AVERAGEIFS('Sources - Observations (Warsaw)'!$C$5:$C$140,'Sources - Observations (Warsaw)'!$A$5:$A$140,$A19,'Sources - Observations (Warsaw)'!$B$5:$B$140,$B19),"")</f>
        <v>666.6666667</v>
      </c>
      <c r="E19" s="106" t="s">
        <v>295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104" t="s">
        <v>40</v>
      </c>
      <c r="B20" s="21">
        <v>2005.0</v>
      </c>
      <c r="C20" s="21">
        <f t="array" ref="C20">COUNTIFS('Sources - Observations (Warsaw)'!$A$5:$A$122,$A20,'Sources - Observations (Warsaw)'!$B$5:$B$122,$B20)</f>
        <v>6</v>
      </c>
      <c r="D20" s="23">
        <f t="array" ref="D20">IFERROR(AVERAGEIFS('Sources - Observations (Warsaw)'!$C$5:$C$140,'Sources - Observations (Warsaw)'!$A$5:$A$140,$A20,'Sources - Observations (Warsaw)'!$B$5:$B$140,$B20),"")</f>
        <v>633.3333333</v>
      </c>
      <c r="E20" s="106" t="s">
        <v>295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104" t="s">
        <v>40</v>
      </c>
      <c r="B21" s="21">
        <v>2006.0</v>
      </c>
      <c r="C21" s="21">
        <f t="array" ref="C21">COUNTIFS('Sources - Observations (Warsaw)'!$A$5:$A$122,$A21,'Sources - Observations (Warsaw)'!$B$5:$B$122,$B21)</f>
        <v>5</v>
      </c>
      <c r="D21" s="23">
        <f t="array" ref="D21">IFERROR(AVERAGEIFS('Sources - Observations (Warsaw)'!$C$5:$C$140,'Sources - Observations (Warsaw)'!$A$5:$A$140,$A21,'Sources - Observations (Warsaw)'!$B$5:$B$140,$B21),"")</f>
        <v>1520</v>
      </c>
      <c r="E21" s="106" t="s">
        <v>295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104" t="s">
        <v>40</v>
      </c>
      <c r="B22" s="21">
        <v>2007.0</v>
      </c>
      <c r="C22" s="21">
        <f t="array" ref="C22">COUNTIFS('Sources - Observations (Warsaw)'!$A$5:$A$122,$A22,'Sources - Observations (Warsaw)'!$B$5:$B$122,$B22)</f>
        <v>4</v>
      </c>
      <c r="D22" s="23">
        <f t="array" ref="D22">IFERROR(AVERAGEIFS('Sources - Observations (Warsaw)'!$C$5:$C$140,'Sources - Observations (Warsaw)'!$A$5:$A$140,$A22,'Sources - Observations (Warsaw)'!$B$5:$B$140,$B22),"")</f>
        <v>1400</v>
      </c>
      <c r="E22" s="106" t="s">
        <v>295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04" t="s">
        <v>40</v>
      </c>
      <c r="B23" s="21">
        <v>2008.0</v>
      </c>
      <c r="C23" s="21">
        <f t="array" ref="C23">COUNTIFS('Sources - Observations (Warsaw)'!$A$5:$A$122,$A23,'Sources - Observations (Warsaw)'!$B$5:$B$122,$B23)</f>
        <v>7</v>
      </c>
      <c r="D23" s="23">
        <f t="array" ref="D23">IFERROR(AVERAGEIFS('Sources - Observations (Warsaw)'!$C$5:$C$140,'Sources - Observations (Warsaw)'!$A$5:$A$140,$A23,'Sources - Observations (Warsaw)'!$B$5:$B$140,$B23),"")</f>
        <v>2214.285714</v>
      </c>
      <c r="E23" s="106" t="s">
        <v>295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04" t="s">
        <v>40</v>
      </c>
      <c r="B24" s="21">
        <v>2009.0</v>
      </c>
      <c r="C24" s="21">
        <f t="array" ref="C24">COUNTIFS('Sources - Observations (Warsaw)'!$A$5:$A$122,$A24,'Sources - Observations (Warsaw)'!$B$5:$B$122,$B24)</f>
        <v>7</v>
      </c>
      <c r="D24" s="23">
        <f t="array" ref="D24">IFERROR(AVERAGEIFS('Sources - Observations (Warsaw)'!$C$5:$C$140,'Sources - Observations (Warsaw)'!$A$5:$A$140,$A24,'Sources - Observations (Warsaw)'!$B$5:$B$140,$B24),"")</f>
        <v>1357.142857</v>
      </c>
      <c r="E24" s="106" t="s">
        <v>295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04" t="s">
        <v>40</v>
      </c>
      <c r="B25" s="21">
        <v>2010.0</v>
      </c>
      <c r="C25" s="21">
        <f t="array" ref="C25">COUNTIFS('Sources - Observations (Warsaw)'!$A$5:$A$122,$A25,'Sources - Observations (Warsaw)'!$B$5:$B$122,$B25)</f>
        <v>5</v>
      </c>
      <c r="D25" s="23">
        <f t="array" ref="D25">IFERROR(AVERAGEIFS('Sources - Observations (Warsaw)'!$C$5:$C$140,'Sources - Observations (Warsaw)'!$A$5:$A$140,$A25,'Sources - Observations (Warsaw)'!$B$5:$B$140,$B25),"")</f>
        <v>440</v>
      </c>
      <c r="E25" s="106" t="s">
        <v>295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04" t="s">
        <v>40</v>
      </c>
      <c r="B26" s="21">
        <v>2011.0</v>
      </c>
      <c r="C26" s="21">
        <f t="array" ref="C26">COUNTIFS('Sources - Observations (Warsaw)'!$A$5:$A$122,$A26,'Sources - Observations (Warsaw)'!$B$5:$B$122,$B26)</f>
        <v>3</v>
      </c>
      <c r="D26" s="23">
        <f t="array" ref="D26">IFERROR(AVERAGEIFS('Sources - Observations (Warsaw)'!$C$5:$C$140,'Sources - Observations (Warsaw)'!$A$5:$A$140,$A26,'Sources - Observations (Warsaw)'!$B$5:$B$140,$B26),"")</f>
        <v>133.3333333</v>
      </c>
      <c r="E26" s="106" t="s">
        <v>295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04" t="s">
        <v>40</v>
      </c>
      <c r="B27" s="21">
        <v>2012.0</v>
      </c>
      <c r="C27" s="21">
        <f t="array" ref="C27">COUNTIFS('Sources - Observations (Warsaw)'!$A$5:$A$122,$A27,'Sources - Observations (Warsaw)'!$B$5:$B$122,$B27)</f>
        <v>4</v>
      </c>
      <c r="D27" s="23">
        <f t="array" ref="D27">IFERROR(AVERAGEIFS('Sources - Observations (Warsaw)'!$C$5:$C$140,'Sources - Observations (Warsaw)'!$A$5:$A$140,$A27,'Sources - Observations (Warsaw)'!$B$5:$B$140,$B27),"")</f>
        <v>11750</v>
      </c>
      <c r="E27" s="106" t="s">
        <v>295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04" t="s">
        <v>40</v>
      </c>
      <c r="B28" s="21">
        <v>2013.0</v>
      </c>
      <c r="C28" s="21">
        <f t="array" ref="C28">COUNTIFS('Sources - Observations (Warsaw)'!$A$5:$A$122,$A28,'Sources - Observations (Warsaw)'!$B$5:$B$122,$B28)</f>
        <v>3</v>
      </c>
      <c r="D28" s="23">
        <f t="array" ref="D28">IFERROR(AVERAGEIFS('Sources - Observations (Warsaw)'!$C$5:$C$140,'Sources - Observations (Warsaw)'!$A$5:$A$140,$A28,'Sources - Observations (Warsaw)'!$B$5:$B$140,$B28),"")</f>
        <v>20000</v>
      </c>
      <c r="E28" s="106" t="s">
        <v>295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04" t="s">
        <v>40</v>
      </c>
      <c r="B29" s="21">
        <v>2014.0</v>
      </c>
      <c r="C29" s="21">
        <f t="array" ref="C29">COUNTIFS('Sources - Observations (Warsaw)'!$A$5:$A$122,$A29,'Sources - Observations (Warsaw)'!$B$5:$B$122,$B29)</f>
        <v>3</v>
      </c>
      <c r="D29" s="23">
        <f t="array" ref="D29">IFERROR(AVERAGEIFS('Sources - Observations (Warsaw)'!$C$5:$C$140,'Sources - Observations (Warsaw)'!$A$5:$A$140,$A29,'Sources - Observations (Warsaw)'!$B$5:$B$140,$B29),"")</f>
        <v>7333.333333</v>
      </c>
      <c r="E29" s="106" t="s">
        <v>295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04" t="s">
        <v>40</v>
      </c>
      <c r="B30" s="21">
        <v>2015.0</v>
      </c>
      <c r="C30" s="21"/>
      <c r="D30" s="23">
        <f t="array" ref="D30">IFERROR(AVERAGEIFS('Sources - Observations (Warsaw)'!$C$5:$C$140,'Sources - Observations (Warsaw)'!$A$5:$A$140,$A30,'Sources - Observations (Warsaw)'!$B$5:$B$140,$B30),"")</f>
        <v>0</v>
      </c>
      <c r="E30" s="106" t="s">
        <v>295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04" t="s">
        <v>40</v>
      </c>
      <c r="B31" s="21">
        <v>2016.0</v>
      </c>
      <c r="C31" s="21">
        <f t="array" ref="C31">COUNTIFS('Sources - Observations (Warsaw)'!$A$5:$A$122,$A31,'Sources - Observations (Warsaw)'!$B$5:$B$122,$B31)</f>
        <v>4</v>
      </c>
      <c r="D31" s="23">
        <f t="array" ref="D31">IFERROR(AVERAGEIFS('Sources - Observations (Warsaw)'!$C$5:$C$140,'Sources - Observations (Warsaw)'!$A$5:$A$140,$A31,'Sources - Observations (Warsaw)'!$B$5:$B$140,$B31),"")</f>
        <v>5375</v>
      </c>
      <c r="E31" s="106" t="s">
        <v>295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04" t="s">
        <v>40</v>
      </c>
      <c r="B32" s="21">
        <v>2017.0</v>
      </c>
      <c r="C32" s="21">
        <f t="array" ref="C32">COUNTIFS('Sources - Observations (Warsaw)'!$A$5:$A$122,$A32,'Sources - Observations (Warsaw)'!$B$5:$B$122,$B32)</f>
        <v>2</v>
      </c>
      <c r="D32" s="23">
        <f t="array" ref="D32">IFERROR(AVERAGEIFS('Sources - Observations (Warsaw)'!$C$5:$C$140,'Sources - Observations (Warsaw)'!$A$5:$A$140,$A32,'Sources - Observations (Warsaw)'!$B$5:$B$140,$B32),"")</f>
        <v>650</v>
      </c>
      <c r="E32" s="106" t="s">
        <v>295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04" t="s">
        <v>40</v>
      </c>
      <c r="B33" s="21">
        <v>2018.0</v>
      </c>
      <c r="C33" s="21">
        <f t="array" ref="C33">COUNTIFS('Sources - Observations (Warsaw)'!$A$5:$A$122,$A33,'Sources - Observations (Warsaw)'!$B$5:$B$122,$B33)</f>
        <v>4</v>
      </c>
      <c r="D33" s="23">
        <f t="array" ref="D33">IFERROR(AVERAGEIFS('Sources - Observations (Warsaw)'!$C$5:$C$140,'Sources - Observations (Warsaw)'!$A$5:$A$140,$A33,'Sources - Observations (Warsaw)'!$B$5:$B$140,$B33),"")</f>
        <v>775</v>
      </c>
      <c r="E33" s="106" t="s">
        <v>295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04" t="s">
        <v>40</v>
      </c>
      <c r="B34" s="21">
        <v>2019.0</v>
      </c>
      <c r="C34" s="21"/>
      <c r="D34" s="23">
        <f t="array" ref="D34">IFERROR(AVERAGEIFS('Sources - Observations (Warsaw)'!$C$5:$C$140,'Sources - Observations (Warsaw)'!$A$5:$A$140,$A34,'Sources - Observations (Warsaw)'!$B$5:$B$140,$B34),"")</f>
        <v>0</v>
      </c>
      <c r="E34" s="106" t="s">
        <v>295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04" t="s">
        <v>46</v>
      </c>
      <c r="B35" s="21">
        <v>1990.0</v>
      </c>
      <c r="C35" s="21">
        <f t="array" ref="C35">COUNTIFS('Sources - Observations (Warsaw)'!$A$5:$A$122,$A35,'Sources - Observations (Warsaw)'!$B$5:$B$122,$B35)</f>
        <v>1</v>
      </c>
      <c r="D35" s="23">
        <f t="array" ref="D35">IFERROR(AVERAGEIFS('Sources - Observations (Warsaw)'!$C$5:$C$140,'Sources - Observations (Warsaw)'!$A$5:$A$140,$A35,'Sources - Observations (Warsaw)'!$B$5:$B$140,$B35),"")</f>
        <v>3000</v>
      </c>
      <c r="E35" s="106" t="s">
        <v>295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104" t="s">
        <v>46</v>
      </c>
      <c r="B36" s="21">
        <v>1991.0</v>
      </c>
      <c r="C36" s="21">
        <f t="array" ref="C36">COUNTIFS('Sources - Observations (Warsaw)'!$A$5:$A$122,$A36,'Sources - Observations (Warsaw)'!$B$5:$B$122,$B36)</f>
        <v>1</v>
      </c>
      <c r="D36" s="23">
        <f t="array" ref="D36">IFERROR(AVERAGEIFS('Sources - Observations (Warsaw)'!$C$5:$C$140,'Sources - Observations (Warsaw)'!$A$5:$A$140,$A36,'Sources - Observations (Warsaw)'!$B$5:$B$140,$B36),"")</f>
        <v>300</v>
      </c>
      <c r="E36" s="106" t="s">
        <v>295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04" t="s">
        <v>46</v>
      </c>
      <c r="B37" s="21">
        <v>1992.0</v>
      </c>
      <c r="C37" s="21">
        <f t="array" ref="C37">COUNTIFS('Sources - Observations (Warsaw)'!$A$5:$A$122,$A37,'Sources - Observations (Warsaw)'!$B$5:$B$122,$B37)</f>
        <v>1</v>
      </c>
      <c r="D37" s="23">
        <f t="array" ref="D37">IFERROR(AVERAGEIFS('Sources - Observations (Warsaw)'!$C$5:$C$140,'Sources - Observations (Warsaw)'!$A$5:$A$140,$A37,'Sources - Observations (Warsaw)'!$B$5:$B$140,$B37),"")</f>
        <v>300</v>
      </c>
      <c r="E37" s="106" t="s">
        <v>295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104" t="s">
        <v>46</v>
      </c>
      <c r="B38" s="21">
        <v>1993.0</v>
      </c>
      <c r="C38" s="21">
        <f t="array" ref="C38">COUNTIFS('Sources - Observations (Warsaw)'!$A$5:$A$122,$A38,'Sources - Observations (Warsaw)'!$B$5:$B$122,$B38)</f>
        <v>1</v>
      </c>
      <c r="D38" s="23">
        <f t="array" ref="D38">IFERROR(AVERAGEIFS('Sources - Observations (Warsaw)'!$C$5:$C$140,'Sources - Observations (Warsaw)'!$A$5:$A$140,$A38,'Sources - Observations (Warsaw)'!$B$5:$B$140,$B38),"")</f>
        <v>300</v>
      </c>
      <c r="E38" s="106" t="s">
        <v>295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104" t="s">
        <v>46</v>
      </c>
      <c r="B39" s="21">
        <v>1994.0</v>
      </c>
      <c r="C39" s="21">
        <f t="array" ref="C39">COUNTIFS('Sources - Observations (Warsaw)'!$A$5:$A$122,$A39,'Sources - Observations (Warsaw)'!$B$5:$B$122,$B39)</f>
        <v>1</v>
      </c>
      <c r="D39" s="23">
        <f t="array" ref="D39">IFERROR(AVERAGEIFS('Sources - Observations (Warsaw)'!$C$5:$C$140,'Sources - Observations (Warsaw)'!$A$5:$A$140,$A39,'Sources - Observations (Warsaw)'!$B$5:$B$140,$B39),"")</f>
        <v>300</v>
      </c>
      <c r="E39" s="106" t="s">
        <v>295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29"/>
      <c r="B40" s="30"/>
      <c r="C40" s="30"/>
      <c r="D40" s="30"/>
      <c r="E40" s="3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36" t="s">
        <v>329</v>
      </c>
      <c r="B41" s="37"/>
      <c r="C41" s="37"/>
      <c r="D41" s="37"/>
      <c r="E41" s="3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41:E41"/>
  </mergeCells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4" width="14.0"/>
    <col customWidth="1" min="5" max="5" width="18.0"/>
    <col customWidth="1" min="6" max="6" width="20.0"/>
    <col customWidth="1" min="7" max="7" width="12.0"/>
    <col customWidth="1" min="8" max="8" width="18.0"/>
    <col customWidth="1" min="9" max="10" width="20.0"/>
    <col customWidth="1" min="11" max="11" width="12.0"/>
    <col customWidth="1" min="12" max="12" width="18.0"/>
    <col customWidth="1" min="13" max="14" width="17.71"/>
    <col customWidth="1" min="15" max="15" width="8.57"/>
  </cols>
  <sheetData>
    <row r="1" ht="25.5" customHeight="1">
      <c r="A1" s="101" t="s">
        <v>330</v>
      </c>
    </row>
    <row r="2" ht="15.75" customHeight="1">
      <c r="A2" s="79" t="s">
        <v>331</v>
      </c>
    </row>
    <row r="4" ht="27.75" customHeight="1">
      <c r="A4" s="86" t="s">
        <v>11</v>
      </c>
      <c r="B4" s="86" t="s">
        <v>332</v>
      </c>
      <c r="C4" s="86" t="s">
        <v>333</v>
      </c>
      <c r="D4" s="86" t="s">
        <v>334</v>
      </c>
      <c r="E4" s="86" t="s">
        <v>335</v>
      </c>
      <c r="F4" s="86" t="s">
        <v>336</v>
      </c>
      <c r="G4" s="86" t="s">
        <v>337</v>
      </c>
      <c r="H4" s="86" t="s">
        <v>338</v>
      </c>
      <c r="I4" s="86" t="s">
        <v>339</v>
      </c>
      <c r="J4" s="86" t="s">
        <v>340</v>
      </c>
      <c r="K4" s="86" t="s">
        <v>341</v>
      </c>
      <c r="L4" s="86" t="s">
        <v>342</v>
      </c>
      <c r="M4" s="86" t="s">
        <v>343</v>
      </c>
      <c r="N4" s="86" t="s">
        <v>344</v>
      </c>
      <c r="O4" s="113" t="s">
        <v>345</v>
      </c>
    </row>
    <row r="5">
      <c r="A5" s="89">
        <v>1987.0</v>
      </c>
      <c r="B5" s="114">
        <v>400.0</v>
      </c>
      <c r="C5" s="114">
        <v>245.0</v>
      </c>
      <c r="D5" s="114">
        <v>56.0</v>
      </c>
      <c r="E5" s="114">
        <v>0.0</v>
      </c>
      <c r="F5" s="114">
        <v>0.0</v>
      </c>
      <c r="G5" s="115">
        <f t="shared" ref="G5:G44" si="2">SUM(D5:F5)</f>
        <v>56</v>
      </c>
      <c r="H5" s="116">
        <f t="shared" ref="H5:I5" si="1">IFERROR((C5-MIN(C5:C44))/(MAX(C5:C44)-MIN(C5:C44)),"")</f>
        <v>0.5052854123</v>
      </c>
      <c r="I5" s="116">
        <f t="shared" si="1"/>
        <v>0.06040268456</v>
      </c>
      <c r="J5" s="116">
        <f>IFERROR((G5-MIN(G5:G44))/(MAX(G5:G44)-MIN(G5:G44)),"")</f>
        <v>0.05660377358</v>
      </c>
      <c r="K5" s="117">
        <f t="shared" ref="K5:K44" si="3">0.5*H5+0.5*I5</f>
        <v>0.2828440484</v>
      </c>
      <c r="L5" s="118"/>
      <c r="M5" s="114"/>
      <c r="N5" s="114"/>
    </row>
    <row r="6">
      <c r="A6" s="89">
        <v>1988.0</v>
      </c>
      <c r="B6" s="114">
        <v>1500.0</v>
      </c>
      <c r="C6" s="114">
        <v>53.0</v>
      </c>
      <c r="D6" s="114">
        <v>134.0</v>
      </c>
      <c r="E6" s="114">
        <v>0.0</v>
      </c>
      <c r="F6" s="114">
        <v>0.0</v>
      </c>
      <c r="G6" s="115">
        <f t="shared" si="2"/>
        <v>134</v>
      </c>
      <c r="H6" s="116">
        <f>IFERROR((C6-MIN(C5:C44))/(MAX(C5:C44)-MIN(C5:C44)),"")</f>
        <v>0.09936575053</v>
      </c>
      <c r="I6" s="116">
        <f t="shared" ref="I6:I44" si="4">IFERROR((D6-MIN(D6:D45))/(MAX(D6:D45)-MIN(D6:D45)),"")</f>
        <v>0.1912751678</v>
      </c>
      <c r="J6" s="116">
        <f>IFERROR((G6-MIN(G5:G44))/(MAX(G5:G44)-MIN(G5:G44)),"")</f>
        <v>0.179245283</v>
      </c>
      <c r="K6" s="117">
        <f t="shared" si="3"/>
        <v>0.1453204592</v>
      </c>
      <c r="L6" s="118">
        <f t="shared" ref="L6:L43" si="5">AVERAGE(K5:K7)</f>
        <v>0.2625241805</v>
      </c>
      <c r="M6" s="114">
        <v>8000.0</v>
      </c>
      <c r="N6" s="114"/>
    </row>
    <row r="7">
      <c r="A7" s="89">
        <v>1989.0</v>
      </c>
      <c r="B7" s="114">
        <v>1600.0</v>
      </c>
      <c r="C7" s="114">
        <v>346.0</v>
      </c>
      <c r="D7" s="114">
        <v>20.0</v>
      </c>
      <c r="E7" s="114">
        <v>0.0</v>
      </c>
      <c r="F7" s="114">
        <v>0.0</v>
      </c>
      <c r="G7" s="115">
        <f t="shared" si="2"/>
        <v>20</v>
      </c>
      <c r="H7" s="116">
        <f>IFERROR((C7-MIN(C5:C44))/(MAX(C5:C44)-MIN(C5:C44)),"")</f>
        <v>0.7188160677</v>
      </c>
      <c r="I7" s="116">
        <f t="shared" si="4"/>
        <v>0</v>
      </c>
      <c r="J7" s="116">
        <f>IFERROR((G7-MIN(G5:G44))/(MAX(G5:G44)-MIN(G5:G44)),"")</f>
        <v>0</v>
      </c>
      <c r="K7" s="117">
        <f t="shared" si="3"/>
        <v>0.3594080338</v>
      </c>
      <c r="L7" s="118">
        <f t="shared" si="5"/>
        <v>0.2793750439</v>
      </c>
      <c r="M7" s="114">
        <v>10000.0</v>
      </c>
      <c r="N7" s="114">
        <f t="shared" ref="N7:N43" si="6">AVERAGE(M6:M8)</f>
        <v>10166.66667</v>
      </c>
    </row>
    <row r="8">
      <c r="A8" s="89">
        <v>1990.0</v>
      </c>
      <c r="B8" s="114">
        <v>6000.0</v>
      </c>
      <c r="C8" s="114">
        <v>230.0</v>
      </c>
      <c r="D8" s="114">
        <v>140.0</v>
      </c>
      <c r="E8" s="114">
        <v>0.0</v>
      </c>
      <c r="F8" s="114">
        <v>0.0</v>
      </c>
      <c r="G8" s="115">
        <f t="shared" si="2"/>
        <v>140</v>
      </c>
      <c r="H8" s="116">
        <f>IFERROR((C8-MIN(C5:C44))/(MAX(C5:C44)-MIN(C5:C44)),"")</f>
        <v>0.4735729387</v>
      </c>
      <c r="I8" s="116">
        <f t="shared" si="4"/>
        <v>0.193220339</v>
      </c>
      <c r="J8" s="116">
        <f>IFERROR((G8-MIN(G5:G44))/(MAX(G5:G44)-MIN(G5:G44)),"")</f>
        <v>0.1886792453</v>
      </c>
      <c r="K8" s="117">
        <f t="shared" si="3"/>
        <v>0.3333966388</v>
      </c>
      <c r="L8" s="118">
        <f t="shared" si="5"/>
        <v>0.3032614278</v>
      </c>
      <c r="M8" s="114">
        <v>12500.0</v>
      </c>
      <c r="N8" s="114">
        <f t="shared" si="6"/>
        <v>11722.33333</v>
      </c>
    </row>
    <row r="9">
      <c r="A9" s="89">
        <v>1991.0</v>
      </c>
      <c r="B9" s="114">
        <v>4500.0</v>
      </c>
      <c r="C9" s="114">
        <v>87.0</v>
      </c>
      <c r="D9" s="114">
        <v>181.0</v>
      </c>
      <c r="E9" s="114">
        <v>0.0</v>
      </c>
      <c r="F9" s="114">
        <v>0.0</v>
      </c>
      <c r="G9" s="115">
        <f t="shared" si="2"/>
        <v>181</v>
      </c>
      <c r="H9" s="116">
        <f>IFERROR((C9-MIN(C5:C44))/(MAX(C5:C44)-MIN(C5:C44)),"")</f>
        <v>0.1712473573</v>
      </c>
      <c r="I9" s="116">
        <f t="shared" si="4"/>
        <v>0.2627118644</v>
      </c>
      <c r="J9" s="116">
        <f>IFERROR((G9-MIN(G5:G44))/(MAX(G5:G44)-MIN(G5:G44)),"")</f>
        <v>0.2531446541</v>
      </c>
      <c r="K9" s="117">
        <f t="shared" si="3"/>
        <v>0.2169796109</v>
      </c>
      <c r="L9" s="118">
        <f t="shared" si="5"/>
        <v>0.3018006235</v>
      </c>
      <c r="M9" s="114">
        <v>12667.0</v>
      </c>
      <c r="N9" s="114">
        <f t="shared" si="6"/>
        <v>12889</v>
      </c>
      <c r="O9" s="119">
        <f t="shared" ref="O9:O41" si="7">CORREL(L7:L11,N7:N11)</f>
        <v>0.8101002866</v>
      </c>
    </row>
    <row r="10">
      <c r="A10" s="89">
        <v>1992.0</v>
      </c>
      <c r="B10" s="114">
        <v>5000.0</v>
      </c>
      <c r="C10" s="114">
        <v>127.0</v>
      </c>
      <c r="D10" s="114">
        <v>294.0</v>
      </c>
      <c r="E10" s="114">
        <v>0.0</v>
      </c>
      <c r="F10" s="114">
        <v>0.0</v>
      </c>
      <c r="G10" s="115">
        <f t="shared" si="2"/>
        <v>294</v>
      </c>
      <c r="H10" s="116">
        <f>IFERROR((C10-MIN(C5:C44))/(MAX(C5:C44)-MIN(C5:C44)),"")</f>
        <v>0.2558139535</v>
      </c>
      <c r="I10" s="116">
        <f t="shared" si="4"/>
        <v>0.4542372881</v>
      </c>
      <c r="J10" s="116">
        <f>IFERROR((G10-MIN(G5:G44))/(MAX(G5:G44)-MIN(G5:G44)),"")</f>
        <v>0.4308176101</v>
      </c>
      <c r="K10" s="117">
        <f t="shared" si="3"/>
        <v>0.3550256208</v>
      </c>
      <c r="L10" s="118">
        <f t="shared" si="5"/>
        <v>0.2356445814</v>
      </c>
      <c r="M10" s="114">
        <v>13500.0</v>
      </c>
      <c r="N10" s="114">
        <f t="shared" si="6"/>
        <v>11305.66667</v>
      </c>
      <c r="O10" s="119">
        <f t="shared" si="7"/>
        <v>0.9574624905</v>
      </c>
    </row>
    <row r="11">
      <c r="A11" s="89">
        <v>1993.0</v>
      </c>
      <c r="B11" s="114">
        <v>4000.0</v>
      </c>
      <c r="C11" s="114">
        <v>19.0</v>
      </c>
      <c r="D11" s="114">
        <v>169.0</v>
      </c>
      <c r="E11" s="114">
        <v>0.0</v>
      </c>
      <c r="F11" s="114">
        <v>0.0</v>
      </c>
      <c r="G11" s="115">
        <f t="shared" si="2"/>
        <v>169</v>
      </c>
      <c r="H11" s="116">
        <f>IFERROR((C11-MIN(C5:C44))/(MAX(C5:C44)-MIN(C5:C44)),"")</f>
        <v>0.02748414376</v>
      </c>
      <c r="I11" s="116">
        <f t="shared" si="4"/>
        <v>0.2423728814</v>
      </c>
      <c r="J11" s="116">
        <f>IFERROR((G11-MIN(G5:G44))/(MAX(G5:G44)-MIN(G5:G44)),"")</f>
        <v>0.2342767296</v>
      </c>
      <c r="K11" s="117">
        <f t="shared" si="3"/>
        <v>0.1349285126</v>
      </c>
      <c r="L11" s="118">
        <f t="shared" si="5"/>
        <v>0.2051050513</v>
      </c>
      <c r="M11" s="114">
        <v>7750.0</v>
      </c>
      <c r="N11" s="114">
        <f t="shared" si="6"/>
        <v>7383.333333</v>
      </c>
      <c r="O11" s="119">
        <f t="shared" si="7"/>
        <v>0.9682332366</v>
      </c>
    </row>
    <row r="12">
      <c r="A12" s="89">
        <v>1994.0</v>
      </c>
      <c r="B12" s="114">
        <v>4000.0</v>
      </c>
      <c r="C12" s="114">
        <v>34.0</v>
      </c>
      <c r="D12" s="114">
        <v>139.0</v>
      </c>
      <c r="E12" s="114">
        <v>0.0</v>
      </c>
      <c r="F12" s="114">
        <v>0.0</v>
      </c>
      <c r="G12" s="115">
        <f t="shared" si="2"/>
        <v>139</v>
      </c>
      <c r="H12" s="116">
        <f>IFERROR((C12-MIN(C5:C44))/(MAX(C5:C44)-MIN(C5:C44)),"")</f>
        <v>0.05919661734</v>
      </c>
      <c r="I12" s="116">
        <f t="shared" si="4"/>
        <v>0.1915254237</v>
      </c>
      <c r="J12" s="116">
        <f>IFERROR((G12-MIN(G5:G44))/(MAX(G5:G44)-MIN(G5:G44)),"")</f>
        <v>0.1871069182</v>
      </c>
      <c r="K12" s="117">
        <f t="shared" si="3"/>
        <v>0.1253610205</v>
      </c>
      <c r="L12" s="118">
        <f t="shared" si="5"/>
        <v>0.1198850945</v>
      </c>
      <c r="M12" s="114">
        <v>900.0</v>
      </c>
      <c r="N12" s="114">
        <f t="shared" si="6"/>
        <v>3633.333333</v>
      </c>
      <c r="O12" s="119">
        <f t="shared" si="7"/>
        <v>0.8563078204</v>
      </c>
    </row>
    <row r="13">
      <c r="A13" s="89">
        <v>1995.0</v>
      </c>
      <c r="B13" s="120">
        <v>5500.0</v>
      </c>
      <c r="C13" s="114">
        <v>100.0</v>
      </c>
      <c r="D13" s="114">
        <v>26.0</v>
      </c>
      <c r="E13" s="114">
        <v>133.0</v>
      </c>
      <c r="F13" s="114">
        <v>0.0</v>
      </c>
      <c r="G13" s="115">
        <f t="shared" si="2"/>
        <v>159</v>
      </c>
      <c r="H13" s="116">
        <f>IFERROR((C13-MIN(C5:C44))/(MAX(C5:C44)-MIN(C5:C44)),"")</f>
        <v>0.1987315011</v>
      </c>
      <c r="I13" s="116">
        <f t="shared" si="4"/>
        <v>0</v>
      </c>
      <c r="J13" s="116">
        <f>IFERROR((G13-MIN(G5:G44))/(MAX(G5:G44)-MIN(G5:G44)),"")</f>
        <v>0.2185534591</v>
      </c>
      <c r="K13" s="117">
        <f t="shared" si="3"/>
        <v>0.09936575053</v>
      </c>
      <c r="L13" s="118">
        <f t="shared" si="5"/>
        <v>0.1303724537</v>
      </c>
      <c r="M13" s="114">
        <v>2250.0</v>
      </c>
      <c r="N13" s="114">
        <f t="shared" si="6"/>
        <v>5383.333333</v>
      </c>
      <c r="O13" s="119">
        <f t="shared" si="7"/>
        <v>0.857036197</v>
      </c>
    </row>
    <row r="14">
      <c r="A14" s="89">
        <v>1996.0</v>
      </c>
      <c r="B14" s="114">
        <v>4500.0</v>
      </c>
      <c r="C14" s="114">
        <v>48.0</v>
      </c>
      <c r="D14" s="114">
        <v>176.0</v>
      </c>
      <c r="E14" s="114">
        <v>25.0</v>
      </c>
      <c r="F14" s="114">
        <v>0.0</v>
      </c>
      <c r="G14" s="115">
        <f t="shared" si="2"/>
        <v>201</v>
      </c>
      <c r="H14" s="116">
        <f>IFERROR((C14-MIN(C5:C44))/(MAX(C5:C44)-MIN(C5:C44)),"")</f>
        <v>0.088794926</v>
      </c>
      <c r="I14" s="116">
        <f t="shared" si="4"/>
        <v>0.2439862543</v>
      </c>
      <c r="J14" s="116">
        <f>IFERROR((G14-MIN(G5:G44))/(MAX(G5:G44)-MIN(G5:G44)),"")</f>
        <v>0.284591195</v>
      </c>
      <c r="K14" s="117">
        <f t="shared" si="3"/>
        <v>0.1663905901</v>
      </c>
      <c r="L14" s="118">
        <f t="shared" si="5"/>
        <v>0.1553753793</v>
      </c>
      <c r="M14" s="114">
        <v>13000.0</v>
      </c>
      <c r="N14" s="114">
        <f t="shared" si="6"/>
        <v>8750</v>
      </c>
      <c r="O14" s="119">
        <f t="shared" si="7"/>
        <v>0.9205261095</v>
      </c>
    </row>
    <row r="15">
      <c r="A15" s="89">
        <v>1997.0</v>
      </c>
      <c r="B15" s="114">
        <v>5000.0</v>
      </c>
      <c r="C15" s="114">
        <v>7.0</v>
      </c>
      <c r="D15" s="114">
        <v>266.0</v>
      </c>
      <c r="E15" s="114">
        <v>59.0</v>
      </c>
      <c r="F15" s="114">
        <v>0.0</v>
      </c>
      <c r="G15" s="115">
        <f t="shared" si="2"/>
        <v>325</v>
      </c>
      <c r="H15" s="116">
        <f>IFERROR((C15-MIN(C5:C44))/(MAX(C5:C44)-MIN(C5:C44)),"")</f>
        <v>0.002114164905</v>
      </c>
      <c r="I15" s="116">
        <f t="shared" si="4"/>
        <v>0.3986254296</v>
      </c>
      <c r="J15" s="116">
        <f>IFERROR((G15-MIN(G5:G44))/(MAX(G5:G44)-MIN(G5:G44)),"")</f>
        <v>0.4795597484</v>
      </c>
      <c r="K15" s="117">
        <f t="shared" si="3"/>
        <v>0.2003697972</v>
      </c>
      <c r="L15" s="118">
        <f t="shared" si="5"/>
        <v>0.2700288669</v>
      </c>
      <c r="M15" s="114">
        <v>11000.0</v>
      </c>
      <c r="N15" s="114">
        <f t="shared" si="6"/>
        <v>10805.66667</v>
      </c>
      <c r="O15" s="119">
        <f t="shared" si="7"/>
        <v>0.9465694138</v>
      </c>
    </row>
    <row r="16">
      <c r="A16" s="89">
        <v>1998.0</v>
      </c>
      <c r="B16" s="114">
        <v>5000.0</v>
      </c>
      <c r="C16" s="114">
        <v>145.0</v>
      </c>
      <c r="D16" s="114">
        <v>379.0</v>
      </c>
      <c r="E16" s="114">
        <v>28.0</v>
      </c>
      <c r="F16" s="114">
        <v>0.0</v>
      </c>
      <c r="G16" s="115">
        <f t="shared" si="2"/>
        <v>407</v>
      </c>
      <c r="H16" s="116">
        <f>IFERROR((C16-MIN(C5:C44))/(MAX(C5:C44)-MIN(C5:C44)),"")</f>
        <v>0.2938689218</v>
      </c>
      <c r="I16" s="116">
        <f t="shared" si="4"/>
        <v>0.5927835052</v>
      </c>
      <c r="J16" s="116">
        <f>IFERROR((G16-MIN(G5:G44))/(MAX(G5:G44)-MIN(G5:G44)),"")</f>
        <v>0.608490566</v>
      </c>
      <c r="K16" s="117">
        <f t="shared" si="3"/>
        <v>0.4433262135</v>
      </c>
      <c r="L16" s="118">
        <f t="shared" si="5"/>
        <v>0.288061628</v>
      </c>
      <c r="M16" s="114">
        <v>8417.0</v>
      </c>
      <c r="N16" s="114">
        <f t="shared" si="6"/>
        <v>11639</v>
      </c>
      <c r="O16" s="119">
        <f t="shared" si="7"/>
        <v>0.9399942277</v>
      </c>
    </row>
    <row r="17">
      <c r="A17" s="89">
        <v>1999.0</v>
      </c>
      <c r="B17" s="114">
        <v>5000.0</v>
      </c>
      <c r="C17" s="114">
        <v>139.0</v>
      </c>
      <c r="D17" s="114">
        <v>127.0</v>
      </c>
      <c r="E17" s="114">
        <v>6.0</v>
      </c>
      <c r="F17" s="114">
        <v>0.0</v>
      </c>
      <c r="G17" s="115">
        <f t="shared" si="2"/>
        <v>133</v>
      </c>
      <c r="H17" s="116">
        <f>IFERROR((C17-MIN(C5:C44))/(MAX(C5:C44)-MIN(C5:C44)),"")</f>
        <v>0.2811839323</v>
      </c>
      <c r="I17" s="116">
        <f t="shared" si="4"/>
        <v>0.1597938144</v>
      </c>
      <c r="J17" s="116">
        <f>IFERROR((G17-MIN(G5:G44))/(MAX(G5:G44)-MIN(G5:G44)),"")</f>
        <v>0.177672956</v>
      </c>
      <c r="K17" s="117">
        <f t="shared" si="3"/>
        <v>0.2204888734</v>
      </c>
      <c r="L17" s="118">
        <f t="shared" si="5"/>
        <v>0.3503762148</v>
      </c>
      <c r="M17" s="114">
        <v>15500.0</v>
      </c>
      <c r="N17" s="114">
        <f t="shared" si="6"/>
        <v>12916.66667</v>
      </c>
      <c r="O17" s="119">
        <f t="shared" si="7"/>
        <v>0.6061454564</v>
      </c>
    </row>
    <row r="18">
      <c r="A18" s="89">
        <v>2000.0</v>
      </c>
      <c r="B18" s="114">
        <v>6765.0</v>
      </c>
      <c r="C18" s="114">
        <v>283.0</v>
      </c>
      <c r="D18" s="114">
        <v>144.0</v>
      </c>
      <c r="E18" s="114">
        <v>57.0</v>
      </c>
      <c r="F18" s="114">
        <v>200.0</v>
      </c>
      <c r="G18" s="115">
        <f t="shared" si="2"/>
        <v>401</v>
      </c>
      <c r="H18" s="116">
        <f>IFERROR((C18-MIN(C5:C44))/(MAX(C5:C44)-MIN(C5:C44)),"")</f>
        <v>0.5856236786</v>
      </c>
      <c r="I18" s="116">
        <f t="shared" si="4"/>
        <v>0.1890034364</v>
      </c>
      <c r="J18" s="116">
        <f>IFERROR((G18-MIN(G5:G44))/(MAX(G5:G44)-MIN(G5:G44)),"")</f>
        <v>0.5990566038</v>
      </c>
      <c r="K18" s="117">
        <f t="shared" si="3"/>
        <v>0.3873135575</v>
      </c>
      <c r="L18" s="118">
        <f t="shared" si="5"/>
        <v>0.4256452078</v>
      </c>
      <c r="M18" s="114">
        <v>14833.0</v>
      </c>
      <c r="N18" s="114">
        <f t="shared" si="6"/>
        <v>12694.33333</v>
      </c>
      <c r="O18" s="119">
        <f t="shared" si="7"/>
        <v>-0.3142549957</v>
      </c>
    </row>
    <row r="19">
      <c r="A19" s="89">
        <v>2001.0</v>
      </c>
      <c r="B19" s="114">
        <v>9000.0</v>
      </c>
      <c r="C19" s="114">
        <v>166.0</v>
      </c>
      <c r="D19" s="114">
        <v>616.0</v>
      </c>
      <c r="E19" s="114">
        <v>40.0</v>
      </c>
      <c r="F19" s="114">
        <v>0.0</v>
      </c>
      <c r="G19" s="115">
        <f t="shared" si="2"/>
        <v>656</v>
      </c>
      <c r="H19" s="116">
        <f>IFERROR((C19-MIN(C5:C44))/(MAX(C5:C44)-MIN(C5:C44)),"")</f>
        <v>0.3382663848</v>
      </c>
      <c r="I19" s="116">
        <f t="shared" si="4"/>
        <v>1</v>
      </c>
      <c r="J19" s="116">
        <f>IFERROR((G19-MIN(G5:G44))/(MAX(G5:G44)-MIN(G5:G44)),"")</f>
        <v>1</v>
      </c>
      <c r="K19" s="117">
        <f t="shared" si="3"/>
        <v>0.6691331924</v>
      </c>
      <c r="L19" s="118">
        <f t="shared" si="5"/>
        <v>0.463227361</v>
      </c>
      <c r="M19" s="114">
        <v>7750.0</v>
      </c>
      <c r="N19" s="114">
        <f t="shared" si="6"/>
        <v>12027.66667</v>
      </c>
      <c r="O19" s="119">
        <f t="shared" si="7"/>
        <v>-0.3910519862</v>
      </c>
    </row>
    <row r="20">
      <c r="A20" s="89">
        <v>2002.0</v>
      </c>
      <c r="B20" s="114">
        <v>5000.0</v>
      </c>
      <c r="C20" s="114">
        <v>101.0</v>
      </c>
      <c r="D20" s="114">
        <v>183.0</v>
      </c>
      <c r="E20" s="114">
        <v>34.0</v>
      </c>
      <c r="F20" s="114">
        <v>0.0</v>
      </c>
      <c r="G20" s="115">
        <f t="shared" si="2"/>
        <v>217</v>
      </c>
      <c r="H20" s="116">
        <f>IFERROR((C20-MIN(C5:C44))/(MAX(C5:C44)-MIN(C5:C44)),"")</f>
        <v>0.200845666</v>
      </c>
      <c r="I20" s="116">
        <f t="shared" si="4"/>
        <v>0.465625</v>
      </c>
      <c r="J20" s="116">
        <f>IFERROR((G20-MIN(G5:G44))/(MAX(G5:G44)-MIN(G5:G44)),"")</f>
        <v>0.3097484277</v>
      </c>
      <c r="K20" s="117">
        <f t="shared" si="3"/>
        <v>0.333235333</v>
      </c>
      <c r="L20" s="118">
        <f t="shared" si="5"/>
        <v>0.4733747357</v>
      </c>
      <c r="M20" s="114">
        <v>13500.0</v>
      </c>
      <c r="N20" s="114">
        <f t="shared" si="6"/>
        <v>10500</v>
      </c>
      <c r="O20" s="119">
        <f t="shared" si="7"/>
        <v>0.7583429892</v>
      </c>
    </row>
    <row r="21" ht="15.75" customHeight="1">
      <c r="A21" s="89">
        <v>2003.0</v>
      </c>
      <c r="B21" s="114">
        <v>7500.0</v>
      </c>
      <c r="C21" s="114">
        <v>178.0</v>
      </c>
      <c r="D21" s="114">
        <v>185.0</v>
      </c>
      <c r="E21" s="114">
        <v>51.0</v>
      </c>
      <c r="F21" s="114">
        <v>0.0</v>
      </c>
      <c r="G21" s="115">
        <f t="shared" si="2"/>
        <v>236</v>
      </c>
      <c r="H21" s="116">
        <f>IFERROR((C21-MIN(C5:C44))/(MAX(C5:C44)-MIN(C5:C44)),"")</f>
        <v>0.3636363636</v>
      </c>
      <c r="I21" s="116">
        <f t="shared" si="4"/>
        <v>0.471875</v>
      </c>
      <c r="J21" s="116">
        <f>IFERROR((G21-MIN(G5:G44))/(MAX(G5:G44)-MIN(G5:G44)),"")</f>
        <v>0.3396226415</v>
      </c>
      <c r="K21" s="117">
        <f t="shared" si="3"/>
        <v>0.4177556818</v>
      </c>
      <c r="L21" s="118">
        <f t="shared" si="5"/>
        <v>0.3807743129</v>
      </c>
      <c r="M21" s="114">
        <v>10250.0</v>
      </c>
      <c r="N21" s="114">
        <f t="shared" si="6"/>
        <v>10750</v>
      </c>
      <c r="O21" s="119">
        <f t="shared" si="7"/>
        <v>0.9315496801</v>
      </c>
    </row>
    <row r="22" ht="15.75" customHeight="1">
      <c r="A22" s="89">
        <v>2004.0</v>
      </c>
      <c r="B22" s="114">
        <v>8000.0</v>
      </c>
      <c r="C22" s="114">
        <v>187.0</v>
      </c>
      <c r="D22" s="114">
        <v>162.0</v>
      </c>
      <c r="E22" s="114">
        <v>114.0</v>
      </c>
      <c r="F22" s="114">
        <v>72.0</v>
      </c>
      <c r="G22" s="115">
        <f t="shared" si="2"/>
        <v>348</v>
      </c>
      <c r="H22" s="116">
        <f>IFERROR((C22-MIN(C5:C44))/(MAX(C5:C44)-MIN(C5:C44)),"")</f>
        <v>0.3826638478</v>
      </c>
      <c r="I22" s="116">
        <f t="shared" si="4"/>
        <v>0.4</v>
      </c>
      <c r="J22" s="116">
        <f>IFERROR((G22-MIN(G5:G44))/(MAX(G5:G44)-MIN(G5:G44)),"")</f>
        <v>0.5157232704</v>
      </c>
      <c r="K22" s="117">
        <f t="shared" si="3"/>
        <v>0.3913319239</v>
      </c>
      <c r="L22" s="118">
        <f t="shared" si="5"/>
        <v>0.3252114165</v>
      </c>
      <c r="M22" s="114">
        <v>8500.0</v>
      </c>
      <c r="N22" s="114">
        <f t="shared" si="6"/>
        <v>6416.666667</v>
      </c>
      <c r="O22" s="119">
        <f t="shared" si="7"/>
        <v>0.9295020953</v>
      </c>
    </row>
    <row r="23" ht="15.75" customHeight="1">
      <c r="A23" s="89">
        <v>2005.0</v>
      </c>
      <c r="B23" s="114">
        <v>6150.0</v>
      </c>
      <c r="C23" s="114">
        <v>32.0</v>
      </c>
      <c r="D23" s="114">
        <v>123.0</v>
      </c>
      <c r="E23" s="114">
        <v>70.0</v>
      </c>
      <c r="F23" s="114">
        <v>0.0</v>
      </c>
      <c r="G23" s="115">
        <f t="shared" si="2"/>
        <v>193</v>
      </c>
      <c r="H23" s="116">
        <f>IFERROR((C23-MIN(C5:C44))/(MAX(C5:C44)-MIN(C5:C44)),"")</f>
        <v>0.05496828753</v>
      </c>
      <c r="I23" s="116">
        <f t="shared" si="4"/>
        <v>0.278125</v>
      </c>
      <c r="J23" s="116">
        <f>IFERROR((G23-MIN(G5:G44))/(MAX(G5:G44)-MIN(G5:G44)),"")</f>
        <v>0.2720125786</v>
      </c>
      <c r="K23" s="117">
        <f t="shared" si="3"/>
        <v>0.1665466438</v>
      </c>
      <c r="L23" s="118">
        <f t="shared" si="5"/>
        <v>0.2451220049</v>
      </c>
      <c r="M23" s="114">
        <v>500.0</v>
      </c>
      <c r="N23" s="114">
        <f t="shared" si="6"/>
        <v>3016.666667</v>
      </c>
      <c r="O23" s="119">
        <f t="shared" si="7"/>
        <v>0.8308977055</v>
      </c>
    </row>
    <row r="24" ht="15.75" customHeight="1">
      <c r="A24" s="89">
        <v>2006.0</v>
      </c>
      <c r="B24" s="114">
        <v>5101.0</v>
      </c>
      <c r="C24" s="114">
        <v>66.0</v>
      </c>
      <c r="D24" s="114">
        <v>107.0</v>
      </c>
      <c r="E24" s="114">
        <v>72.0</v>
      </c>
      <c r="F24" s="114">
        <v>0.0</v>
      </c>
      <c r="G24" s="115">
        <f t="shared" si="2"/>
        <v>179</v>
      </c>
      <c r="H24" s="116">
        <f>IFERROR((C24-MIN(C5:C44))/(MAX(C5:C44)-MIN(C5:C44)),"")</f>
        <v>0.1268498943</v>
      </c>
      <c r="I24" s="116">
        <f t="shared" si="4"/>
        <v>0.228125</v>
      </c>
      <c r="J24" s="116">
        <f>IFERROR((G24-MIN(G5:G44))/(MAX(G5:G44)-MIN(G5:G44)),"")</f>
        <v>0.25</v>
      </c>
      <c r="K24" s="117">
        <f t="shared" si="3"/>
        <v>0.1774874471</v>
      </c>
      <c r="L24" s="118">
        <f t="shared" si="5"/>
        <v>0.186463839</v>
      </c>
      <c r="M24" s="114">
        <v>50.0</v>
      </c>
      <c r="N24" s="114">
        <f t="shared" si="6"/>
        <v>3039</v>
      </c>
      <c r="O24" s="119">
        <f t="shared" si="7"/>
        <v>0.8437156693</v>
      </c>
    </row>
    <row r="25" ht="15.75" customHeight="1">
      <c r="A25" s="89">
        <v>2007.0</v>
      </c>
      <c r="B25" s="114">
        <v>4724.0</v>
      </c>
      <c r="C25" s="114">
        <v>90.0</v>
      </c>
      <c r="D25" s="114">
        <v>115.0</v>
      </c>
      <c r="E25" s="114">
        <v>119.0</v>
      </c>
      <c r="F25" s="114">
        <v>0.0</v>
      </c>
      <c r="G25" s="115">
        <f t="shared" si="2"/>
        <v>234</v>
      </c>
      <c r="H25" s="116">
        <f>IFERROR((C25-MIN(C5:C44))/(MAX(C5:C44)-MIN(C5:C44)),"")</f>
        <v>0.177589852</v>
      </c>
      <c r="I25" s="116">
        <f t="shared" si="4"/>
        <v>0.253125</v>
      </c>
      <c r="J25" s="116">
        <f>IFERROR((G25-MIN(G5:G44))/(MAX(G5:G44)-MIN(G5:G44)),"")</f>
        <v>0.3364779874</v>
      </c>
      <c r="K25" s="117">
        <f t="shared" si="3"/>
        <v>0.215357426</v>
      </c>
      <c r="L25" s="118">
        <f t="shared" si="5"/>
        <v>0.2229860377</v>
      </c>
      <c r="M25" s="114">
        <v>8567.0</v>
      </c>
      <c r="N25" s="114">
        <f t="shared" si="6"/>
        <v>6639</v>
      </c>
      <c r="O25" s="119">
        <f t="shared" si="7"/>
        <v>0.909278712</v>
      </c>
    </row>
    <row r="26" ht="15.75" customHeight="1">
      <c r="A26" s="89">
        <v>2008.0</v>
      </c>
      <c r="B26" s="114">
        <v>4572.0</v>
      </c>
      <c r="C26" s="114">
        <v>112.0</v>
      </c>
      <c r="D26" s="114">
        <v>139.0</v>
      </c>
      <c r="E26" s="114">
        <v>24.0</v>
      </c>
      <c r="F26" s="114">
        <v>0.0</v>
      </c>
      <c r="G26" s="115">
        <f t="shared" si="2"/>
        <v>163</v>
      </c>
      <c r="H26" s="116">
        <f>IFERROR((C26-MIN(C5:C44))/(MAX(C5:C44)-MIN(C5:C44)),"")</f>
        <v>0.2241014799</v>
      </c>
      <c r="I26" s="116">
        <f t="shared" si="4"/>
        <v>0.328125</v>
      </c>
      <c r="J26" s="116">
        <f>IFERROR((G26-MIN(G5:G44))/(MAX(G5:G44)-MIN(G5:G44)),"")</f>
        <v>0.2248427673</v>
      </c>
      <c r="K26" s="117">
        <f t="shared" si="3"/>
        <v>0.27611324</v>
      </c>
      <c r="L26" s="118">
        <f t="shared" si="5"/>
        <v>0.463302722</v>
      </c>
      <c r="M26" s="114">
        <v>11300.0</v>
      </c>
      <c r="N26" s="114">
        <f t="shared" si="6"/>
        <v>9555.666667</v>
      </c>
      <c r="O26" s="119">
        <f t="shared" si="7"/>
        <v>0.9430500274</v>
      </c>
    </row>
    <row r="27" ht="15.75" customHeight="1">
      <c r="A27" s="89">
        <v>2009.0</v>
      </c>
      <c r="B27" s="114">
        <v>5761.0</v>
      </c>
      <c r="C27" s="114">
        <v>479.0</v>
      </c>
      <c r="D27" s="114">
        <v>289.0</v>
      </c>
      <c r="E27" s="114">
        <v>57.0</v>
      </c>
      <c r="F27" s="114">
        <v>0.0</v>
      </c>
      <c r="G27" s="115">
        <f t="shared" si="2"/>
        <v>346</v>
      </c>
      <c r="H27" s="116">
        <f>IFERROR((C27-MIN(C5:C44))/(MAX(C5:C44)-MIN(C5:C44)),"")</f>
        <v>1</v>
      </c>
      <c r="I27" s="116">
        <f t="shared" si="4"/>
        <v>0.796875</v>
      </c>
      <c r="J27" s="116">
        <f>IFERROR((G27-MIN(G5:G44))/(MAX(G5:G44)-MIN(G5:G44)),"")</f>
        <v>0.5125786164</v>
      </c>
      <c r="K27" s="117">
        <f t="shared" si="3"/>
        <v>0.8984375</v>
      </c>
      <c r="L27" s="118">
        <f t="shared" si="5"/>
        <v>0.4900799419</v>
      </c>
      <c r="M27" s="114">
        <v>8800.0</v>
      </c>
      <c r="N27" s="114">
        <f t="shared" si="6"/>
        <v>10883.33333</v>
      </c>
      <c r="O27" s="119">
        <f t="shared" si="7"/>
        <v>0.07658239687</v>
      </c>
    </row>
    <row r="28" ht="15.75" customHeight="1">
      <c r="A28" s="89">
        <v>2010.0</v>
      </c>
      <c r="B28" s="114">
        <v>7400.0</v>
      </c>
      <c r="C28" s="114">
        <v>98.0</v>
      </c>
      <c r="D28" s="114">
        <v>161.0</v>
      </c>
      <c r="E28" s="114">
        <v>37.0</v>
      </c>
      <c r="F28" s="114">
        <v>289.0</v>
      </c>
      <c r="G28" s="115">
        <f t="shared" si="2"/>
        <v>487</v>
      </c>
      <c r="H28" s="116">
        <f>IFERROR((C28-MIN(C5:C44))/(MAX(C5:C44)-MIN(C5:C44)),"")</f>
        <v>0.1945031712</v>
      </c>
      <c r="I28" s="116">
        <f t="shared" si="4"/>
        <v>0.396875</v>
      </c>
      <c r="J28" s="116">
        <f>IFERROR((G28-MIN(G5:G44))/(MAX(G5:G44)-MIN(G5:G44)),"")</f>
        <v>0.7342767296</v>
      </c>
      <c r="K28" s="117">
        <f t="shared" si="3"/>
        <v>0.2956890856</v>
      </c>
      <c r="L28" s="118">
        <f t="shared" si="5"/>
        <v>0.4582925916</v>
      </c>
      <c r="M28" s="114">
        <v>12550.0</v>
      </c>
      <c r="N28" s="114">
        <f t="shared" si="6"/>
        <v>10894.33333</v>
      </c>
      <c r="O28" s="119">
        <f t="shared" si="7"/>
        <v>-0.9308555369</v>
      </c>
    </row>
    <row r="29" ht="15.75" customHeight="1">
      <c r="A29" s="89">
        <v>2011.0</v>
      </c>
      <c r="B29" s="114">
        <v>7400.0</v>
      </c>
      <c r="C29" s="114">
        <v>75.0</v>
      </c>
      <c r="D29" s="114">
        <v>103.0</v>
      </c>
      <c r="E29" s="114">
        <v>58.0</v>
      </c>
      <c r="F29" s="114">
        <v>0.0</v>
      </c>
      <c r="G29" s="115">
        <f t="shared" si="2"/>
        <v>161</v>
      </c>
      <c r="H29" s="116">
        <f>IFERROR((C29-MIN(C5:C44))/(MAX(C5:C44)-MIN(C5:C44)),"")</f>
        <v>0.1458773784</v>
      </c>
      <c r="I29" s="116">
        <f t="shared" si="4"/>
        <v>0.215625</v>
      </c>
      <c r="J29" s="116">
        <f>IFERROR((G29-MIN(G5:G44))/(MAX(G5:G44)-MIN(G5:G44)),"")</f>
        <v>0.2216981132</v>
      </c>
      <c r="K29" s="117">
        <f t="shared" si="3"/>
        <v>0.1807511892</v>
      </c>
      <c r="L29" s="118">
        <f t="shared" si="5"/>
        <v>0.2446628347</v>
      </c>
      <c r="M29" s="114">
        <v>11333.0</v>
      </c>
      <c r="N29" s="114">
        <f t="shared" si="6"/>
        <v>14127.66667</v>
      </c>
      <c r="O29" s="119">
        <f t="shared" si="7"/>
        <v>-0.9126324444</v>
      </c>
    </row>
    <row r="30" ht="15.75" customHeight="1">
      <c r="A30" s="89">
        <v>2012.0</v>
      </c>
      <c r="B30" s="114">
        <v>7000.0</v>
      </c>
      <c r="C30" s="114">
        <v>124.0</v>
      </c>
      <c r="D30" s="114">
        <v>119.0</v>
      </c>
      <c r="E30" s="114">
        <v>4.0</v>
      </c>
      <c r="F30" s="114">
        <v>0.0</v>
      </c>
      <c r="G30" s="115">
        <f t="shared" si="2"/>
        <v>123</v>
      </c>
      <c r="H30" s="116">
        <f>IFERROR((C30-MIN(C5:C44))/(MAX(C5:C44)-MIN(C5:C44)),"")</f>
        <v>0.2494714588</v>
      </c>
      <c r="I30" s="116">
        <f t="shared" si="4"/>
        <v>0.265625</v>
      </c>
      <c r="J30" s="116">
        <f>IFERROR((G30-MIN(G5:G44))/(MAX(G5:G44)-MIN(G5:G44)),"")</f>
        <v>0.1619496855</v>
      </c>
      <c r="K30" s="117">
        <f t="shared" si="3"/>
        <v>0.2575482294</v>
      </c>
      <c r="L30" s="118">
        <f t="shared" si="5"/>
        <v>0.1838464588</v>
      </c>
      <c r="M30" s="114">
        <v>18500.0</v>
      </c>
      <c r="N30" s="114">
        <f t="shared" si="6"/>
        <v>13833.33333</v>
      </c>
      <c r="O30" s="119">
        <f t="shared" si="7"/>
        <v>-0.9031246506</v>
      </c>
    </row>
    <row r="31" ht="15.75" customHeight="1">
      <c r="A31" s="89">
        <v>2013.0</v>
      </c>
      <c r="B31" s="114">
        <v>7000.0</v>
      </c>
      <c r="C31" s="114">
        <v>54.0</v>
      </c>
      <c r="D31" s="114">
        <v>74.0</v>
      </c>
      <c r="E31" s="114">
        <v>20.0</v>
      </c>
      <c r="F31" s="114">
        <v>0.0</v>
      </c>
      <c r="G31" s="115">
        <f t="shared" si="2"/>
        <v>94</v>
      </c>
      <c r="H31" s="116">
        <f>IFERROR((C31-MIN(C5:C44))/(MAX(C5:C44)-MIN(C5:C44)),"")</f>
        <v>0.1014799154</v>
      </c>
      <c r="I31" s="116">
        <f t="shared" si="4"/>
        <v>0.125</v>
      </c>
      <c r="J31" s="116">
        <f>IFERROR((G31-MIN(G5:G44))/(MAX(G5:G44)-MIN(G5:G44)),"")</f>
        <v>0.1163522013</v>
      </c>
      <c r="K31" s="117">
        <f t="shared" si="3"/>
        <v>0.1132399577</v>
      </c>
      <c r="L31" s="118">
        <f t="shared" si="5"/>
        <v>0.152167019</v>
      </c>
      <c r="M31" s="114">
        <v>11667.0</v>
      </c>
      <c r="N31" s="114">
        <f t="shared" si="6"/>
        <v>17389</v>
      </c>
      <c r="O31" s="119">
        <f t="shared" si="7"/>
        <v>-0.9382441776</v>
      </c>
    </row>
    <row r="32" ht="15.75" customHeight="1">
      <c r="A32" s="89">
        <v>2014.0</v>
      </c>
      <c r="B32" s="114">
        <v>6400.0</v>
      </c>
      <c r="C32" s="114">
        <v>59.0</v>
      </c>
      <c r="D32" s="114">
        <v>53.0</v>
      </c>
      <c r="E32" s="114">
        <v>15.0</v>
      </c>
      <c r="F32" s="114">
        <v>0.0</v>
      </c>
      <c r="G32" s="115">
        <f t="shared" si="2"/>
        <v>68</v>
      </c>
      <c r="H32" s="116">
        <f>IFERROR((C32-MIN(C5:C44))/(MAX(C5:C44)-MIN(C5:C44)),"")</f>
        <v>0.11205074</v>
      </c>
      <c r="I32" s="116">
        <f t="shared" si="4"/>
        <v>0.059375</v>
      </c>
      <c r="J32" s="116">
        <f>IFERROR((G32-MIN(G5:G44))/(MAX(G5:G44)-MIN(G5:G44)),"")</f>
        <v>0.07547169811</v>
      </c>
      <c r="K32" s="117">
        <f t="shared" si="3"/>
        <v>0.08571286998</v>
      </c>
      <c r="L32" s="118">
        <f t="shared" si="5"/>
        <v>0.08437940451</v>
      </c>
      <c r="M32" s="114">
        <v>22000.0</v>
      </c>
      <c r="N32" s="114">
        <f t="shared" si="6"/>
        <v>19722.33333</v>
      </c>
      <c r="O32" s="119">
        <f t="shared" si="7"/>
        <v>-0.9647214334</v>
      </c>
    </row>
    <row r="33" ht="15.75" customHeight="1">
      <c r="A33" s="89">
        <v>2015.0</v>
      </c>
      <c r="B33" s="114">
        <v>6554.0</v>
      </c>
      <c r="C33" s="114">
        <v>41.0</v>
      </c>
      <c r="D33" s="114">
        <v>45.0</v>
      </c>
      <c r="E33" s="114">
        <v>8.0</v>
      </c>
      <c r="F33" s="114">
        <v>0.0</v>
      </c>
      <c r="G33" s="115">
        <f t="shared" si="2"/>
        <v>53</v>
      </c>
      <c r="H33" s="116">
        <f>IFERROR((C33-MIN(C5:C44))/(MAX(C5:C44)-MIN(C5:C44)),"")</f>
        <v>0.07399577167</v>
      </c>
      <c r="I33" s="116">
        <f t="shared" si="4"/>
        <v>0.034375</v>
      </c>
      <c r="J33" s="116">
        <f>IFERROR((G33-MIN(G5:G44))/(MAX(G5:G44)-MIN(G5:G44)),"")</f>
        <v>0.05188679245</v>
      </c>
      <c r="K33" s="117">
        <f t="shared" si="3"/>
        <v>0.05418538584</v>
      </c>
      <c r="L33" s="118">
        <f t="shared" si="5"/>
        <v>0.06947454193</v>
      </c>
      <c r="M33" s="114">
        <v>25500.0</v>
      </c>
      <c r="N33" s="114">
        <f t="shared" si="6"/>
        <v>21416.66667</v>
      </c>
      <c r="O33" s="119">
        <f t="shared" si="7"/>
        <v>-0.7013384148</v>
      </c>
    </row>
    <row r="34" ht="15.75" customHeight="1">
      <c r="A34" s="89">
        <v>2016.0</v>
      </c>
      <c r="B34" s="114">
        <v>6091.0</v>
      </c>
      <c r="C34" s="114">
        <v>59.0</v>
      </c>
      <c r="D34" s="114">
        <v>42.0</v>
      </c>
      <c r="E34" s="114">
        <v>0.0</v>
      </c>
      <c r="F34" s="114">
        <v>0.0</v>
      </c>
      <c r="G34" s="115">
        <f t="shared" si="2"/>
        <v>42</v>
      </c>
      <c r="H34" s="116">
        <f>IFERROR((C34-MIN(C5:C44))/(MAX(C5:C44)-MIN(C5:C44)),"")</f>
        <v>0.11205074</v>
      </c>
      <c r="I34" s="116">
        <f t="shared" si="4"/>
        <v>0.025</v>
      </c>
      <c r="J34" s="116">
        <f>IFERROR((G34-MIN(G5:G44))/(MAX(G5:G44)-MIN(G5:G44)),"")</f>
        <v>0.03459119497</v>
      </c>
      <c r="K34" s="117">
        <f t="shared" si="3"/>
        <v>0.06852536998</v>
      </c>
      <c r="L34" s="118">
        <f t="shared" si="5"/>
        <v>0.09173163319</v>
      </c>
      <c r="M34" s="114">
        <v>16750.0</v>
      </c>
      <c r="N34" s="114">
        <f t="shared" si="6"/>
        <v>19166.66667</v>
      </c>
      <c r="O34" s="119">
        <f t="shared" si="7"/>
        <v>-0.9611526019</v>
      </c>
    </row>
    <row r="35" ht="15.75" customHeight="1">
      <c r="A35" s="89">
        <v>2017.0</v>
      </c>
      <c r="B35" s="114">
        <v>6000.0</v>
      </c>
      <c r="C35" s="114">
        <v>32.0</v>
      </c>
      <c r="D35" s="114">
        <v>114.0</v>
      </c>
      <c r="E35" s="114">
        <v>0.0</v>
      </c>
      <c r="F35" s="114">
        <v>0.0</v>
      </c>
      <c r="G35" s="115">
        <f t="shared" si="2"/>
        <v>114</v>
      </c>
      <c r="H35" s="116">
        <f>IFERROR((C35-MIN(C5:C44))/(MAX(C5:C44)-MIN(C5:C44)),"")</f>
        <v>0.05496828753</v>
      </c>
      <c r="I35" s="116">
        <f t="shared" si="4"/>
        <v>0.25</v>
      </c>
      <c r="J35" s="116">
        <f>IFERROR((G35-MIN(G5:G44))/(MAX(G5:G44)-MIN(G5:G44)),"")</f>
        <v>0.1477987421</v>
      </c>
      <c r="K35" s="117">
        <f t="shared" si="3"/>
        <v>0.1524841438</v>
      </c>
      <c r="L35" s="118">
        <f t="shared" si="5"/>
        <v>0.1145403894</v>
      </c>
      <c r="M35" s="114">
        <v>15250.0</v>
      </c>
      <c r="N35" s="114">
        <f t="shared" si="6"/>
        <v>14900</v>
      </c>
      <c r="O35" s="119">
        <f t="shared" si="7"/>
        <v>-0.9398338835</v>
      </c>
    </row>
    <row r="36" ht="15.75" customHeight="1">
      <c r="A36" s="89">
        <v>2018.0</v>
      </c>
      <c r="B36" s="114">
        <v>5170.0</v>
      </c>
      <c r="C36" s="114">
        <v>20.0</v>
      </c>
      <c r="D36" s="114">
        <v>103.0</v>
      </c>
      <c r="E36" s="114">
        <v>0.0</v>
      </c>
      <c r="F36" s="114">
        <v>0.0</v>
      </c>
      <c r="G36" s="115">
        <f t="shared" si="2"/>
        <v>103</v>
      </c>
      <c r="H36" s="116">
        <f>IFERROR((C36-MIN(C5:C44))/(MAX(C5:C44)-MIN(C5:C44)),"")</f>
        <v>0.02959830867</v>
      </c>
      <c r="I36" s="116">
        <f t="shared" si="4"/>
        <v>0.215625</v>
      </c>
      <c r="J36" s="116">
        <f>IFERROR((G36-MIN(G5:G44))/(MAX(G5:G44)-MIN(G5:G44)),"")</f>
        <v>0.1305031447</v>
      </c>
      <c r="K36" s="117">
        <f t="shared" si="3"/>
        <v>0.1226116543</v>
      </c>
      <c r="L36" s="118">
        <f t="shared" si="5"/>
        <v>0.163743173</v>
      </c>
      <c r="M36" s="114">
        <v>12700.0</v>
      </c>
      <c r="N36" s="114">
        <f t="shared" si="6"/>
        <v>12716.66667</v>
      </c>
      <c r="O36" s="119">
        <f t="shared" si="7"/>
        <v>-0.8333032607</v>
      </c>
    </row>
    <row r="37" ht="15.75" customHeight="1">
      <c r="A37" s="89">
        <v>2019.0</v>
      </c>
      <c r="B37" s="114">
        <v>5500.0</v>
      </c>
      <c r="C37" s="114">
        <v>39.0</v>
      </c>
      <c r="D37" s="114">
        <v>150.0</v>
      </c>
      <c r="E37" s="114">
        <v>0.0</v>
      </c>
      <c r="F37" s="114">
        <v>0.0</v>
      </c>
      <c r="G37" s="115">
        <f t="shared" si="2"/>
        <v>150</v>
      </c>
      <c r="H37" s="116">
        <f>IFERROR((C37-MIN(C5:C44))/(MAX(C5:C44)-MIN(C5:C44)),"")</f>
        <v>0.06976744186</v>
      </c>
      <c r="I37" s="116">
        <f t="shared" si="4"/>
        <v>0.3625</v>
      </c>
      <c r="J37" s="116">
        <f>IFERROR((G37-MIN(G5:G44))/(MAX(G5:G44)-MIN(G5:G44)),"")</f>
        <v>0.2044025157</v>
      </c>
      <c r="K37" s="117">
        <f t="shared" si="3"/>
        <v>0.2161337209</v>
      </c>
      <c r="L37" s="118">
        <f t="shared" si="5"/>
        <v>0.2817267882</v>
      </c>
      <c r="M37" s="114">
        <v>10200.0</v>
      </c>
      <c r="N37" s="114">
        <f t="shared" si="6"/>
        <v>8633.333333</v>
      </c>
      <c r="O37" s="119">
        <f t="shared" si="7"/>
        <v>-0.6128584302</v>
      </c>
    </row>
    <row r="38" ht="15.75" customHeight="1">
      <c r="A38" s="89">
        <v>2020.0</v>
      </c>
      <c r="B38" s="114">
        <v>5000.0</v>
      </c>
      <c r="C38" s="114">
        <v>18.0</v>
      </c>
      <c r="D38" s="114">
        <v>350.0</v>
      </c>
      <c r="E38" s="114">
        <v>0.0</v>
      </c>
      <c r="F38" s="114">
        <v>0.0</v>
      </c>
      <c r="G38" s="115">
        <f t="shared" si="2"/>
        <v>350</v>
      </c>
      <c r="H38" s="116">
        <f>IFERROR((C38-MIN(C5:C44))/(MAX(C5:C44)-MIN(C5:C44)),"")</f>
        <v>0.02536997886</v>
      </c>
      <c r="I38" s="116">
        <f t="shared" si="4"/>
        <v>0.9875</v>
      </c>
      <c r="J38" s="116">
        <f>IFERROR((G38-MIN(G5:G44))/(MAX(G5:G44)-MIN(G5:G44)),"")</f>
        <v>0.5188679245</v>
      </c>
      <c r="K38" s="117">
        <f t="shared" si="3"/>
        <v>0.5064349894</v>
      </c>
      <c r="L38" s="118">
        <f t="shared" si="5"/>
        <v>0.4381782946</v>
      </c>
      <c r="M38" s="114">
        <v>3000.0</v>
      </c>
      <c r="N38" s="114">
        <f t="shared" si="6"/>
        <v>9233.333333</v>
      </c>
      <c r="O38" s="119">
        <f t="shared" si="7"/>
        <v>0.02344639303</v>
      </c>
    </row>
    <row r="39" ht="15.75" customHeight="1">
      <c r="A39" s="89">
        <v>2021.0</v>
      </c>
      <c r="B39" s="114">
        <v>5600.0</v>
      </c>
      <c r="C39" s="114">
        <v>93.0</v>
      </c>
      <c r="D39" s="114">
        <v>354.0</v>
      </c>
      <c r="E39" s="114">
        <v>0.0</v>
      </c>
      <c r="F39" s="114">
        <v>0.0</v>
      </c>
      <c r="G39" s="115">
        <f t="shared" si="2"/>
        <v>354</v>
      </c>
      <c r="H39" s="116">
        <f>IFERROR((C39-MIN(C5:C44))/(MAX(C5:C44)-MIN(C5:C44)),"")</f>
        <v>0.1839323467</v>
      </c>
      <c r="I39" s="116">
        <f t="shared" si="4"/>
        <v>1</v>
      </c>
      <c r="J39" s="116">
        <f>IFERROR((G39-MIN(G5:G44))/(MAX(G5:G44)-MIN(G5:G44)),"")</f>
        <v>0.5251572327</v>
      </c>
      <c r="K39" s="117">
        <f t="shared" si="3"/>
        <v>0.5919661734</v>
      </c>
      <c r="L39" s="118">
        <f t="shared" si="5"/>
        <v>0.5014336265</v>
      </c>
      <c r="M39" s="114">
        <v>14500.0</v>
      </c>
      <c r="N39" s="114">
        <f t="shared" si="6"/>
        <v>11500</v>
      </c>
      <c r="O39" s="119">
        <f t="shared" si="7"/>
        <v>-0.3006458085</v>
      </c>
    </row>
    <row r="40" ht="15.75" customHeight="1">
      <c r="A40" s="89">
        <v>2022.0</v>
      </c>
      <c r="B40" s="114">
        <v>5500.0</v>
      </c>
      <c r="C40" s="114">
        <v>33.0</v>
      </c>
      <c r="D40" s="114">
        <v>74.0</v>
      </c>
      <c r="E40" s="114">
        <v>22.0</v>
      </c>
      <c r="F40" s="114">
        <v>0.0</v>
      </c>
      <c r="G40" s="115">
        <f t="shared" si="2"/>
        <v>96</v>
      </c>
      <c r="H40" s="116">
        <f>IFERROR((C40-MIN(C5:C44))/(MAX(C5:C44)-MIN(C5:C44)),"")</f>
        <v>0.05708245243</v>
      </c>
      <c r="I40" s="116">
        <f t="shared" si="4"/>
        <v>0.7547169811</v>
      </c>
      <c r="J40" s="116">
        <f>IFERROR((G40-MIN(G5:G44))/(MAX(G5:G44)-MIN(G5:G44)),"")</f>
        <v>0.1194968553</v>
      </c>
      <c r="K40" s="117">
        <f t="shared" si="3"/>
        <v>0.4058997168</v>
      </c>
      <c r="L40" s="118">
        <f t="shared" si="5"/>
        <v>0.4126743521</v>
      </c>
      <c r="M40" s="114">
        <v>17000.0</v>
      </c>
      <c r="N40" s="114">
        <f t="shared" si="6"/>
        <v>15833.33333</v>
      </c>
      <c r="O40" s="119">
        <f t="shared" si="7"/>
        <v>-0.8586072811</v>
      </c>
    </row>
    <row r="41" ht="15.75" customHeight="1">
      <c r="A41" s="89">
        <v>2023.0</v>
      </c>
      <c r="B41" s="114">
        <v>7100.0</v>
      </c>
      <c r="C41" s="114">
        <v>19.0</v>
      </c>
      <c r="D41" s="114">
        <v>58.0</v>
      </c>
      <c r="E41" s="114">
        <v>13.0</v>
      </c>
      <c r="F41" s="114">
        <v>0.0</v>
      </c>
      <c r="G41" s="115">
        <f t="shared" si="2"/>
        <v>71</v>
      </c>
      <c r="H41" s="116">
        <f>IFERROR((C41-MIN(C5:C44))/(MAX(C5:C44)-MIN(C5:C44)),"")</f>
        <v>0.02748414376</v>
      </c>
      <c r="I41" s="116">
        <f t="shared" si="4"/>
        <v>0.4528301887</v>
      </c>
      <c r="J41" s="116">
        <f>IFERROR((G41-MIN(G5:G44))/(MAX(G5:G44)-MIN(G5:G44)),"")</f>
        <v>0.08018867925</v>
      </c>
      <c r="K41" s="117">
        <f t="shared" si="3"/>
        <v>0.2401571662</v>
      </c>
      <c r="L41" s="118">
        <f t="shared" si="5"/>
        <v>0.2153522943</v>
      </c>
      <c r="M41" s="114">
        <v>16000.0</v>
      </c>
      <c r="N41" s="114">
        <f t="shared" si="6"/>
        <v>16755.66667</v>
      </c>
      <c r="O41" s="119">
        <f t="shared" si="7"/>
        <v>-0.9579346078</v>
      </c>
    </row>
    <row r="42" ht="15.75" customHeight="1">
      <c r="A42" s="89">
        <v>2024.0</v>
      </c>
      <c r="B42" s="114">
        <v>5600.0</v>
      </c>
      <c r="C42" s="114">
        <v>6.0</v>
      </c>
      <c r="D42" s="114">
        <v>34.0</v>
      </c>
      <c r="E42" s="114">
        <v>8.0</v>
      </c>
      <c r="F42" s="114">
        <v>0.0</v>
      </c>
      <c r="G42" s="115">
        <f t="shared" si="2"/>
        <v>42</v>
      </c>
      <c r="H42" s="116">
        <f>IFERROR((C42-MIN(C5:C44))/(MAX(C5:C44)-MIN(C5:C44)),"")</f>
        <v>0</v>
      </c>
      <c r="I42" s="116">
        <f t="shared" si="4"/>
        <v>0</v>
      </c>
      <c r="J42" s="116">
        <f>IFERROR((G42-MIN(G5:G44))/(MAX(G5:G44)-MIN(G5:G44)),"")</f>
        <v>0.03459119497</v>
      </c>
      <c r="K42" s="117">
        <f t="shared" si="3"/>
        <v>0</v>
      </c>
      <c r="L42" s="118">
        <f t="shared" si="5"/>
        <v>0.08251891446</v>
      </c>
      <c r="M42" s="114">
        <v>17267.0</v>
      </c>
      <c r="N42" s="114">
        <f t="shared" si="6"/>
        <v>19755.66667</v>
      </c>
      <c r="O42" s="119"/>
    </row>
    <row r="43" ht="15.75" customHeight="1">
      <c r="A43" s="89">
        <v>2025.0</v>
      </c>
      <c r="B43" s="114">
        <v>5800.0</v>
      </c>
      <c r="C43" s="114">
        <v>13.0</v>
      </c>
      <c r="D43" s="114">
        <v>70.0</v>
      </c>
      <c r="E43" s="114">
        <v>3.0</v>
      </c>
      <c r="F43" s="114">
        <v>0.0</v>
      </c>
      <c r="G43" s="115">
        <f t="shared" si="2"/>
        <v>73</v>
      </c>
      <c r="H43" s="116">
        <f>IFERROR((C43-MIN(C5:C44))/(MAX(C5:C44)-MIN(C5:C44)),"")</f>
        <v>0.01479915433</v>
      </c>
      <c r="I43" s="116">
        <f t="shared" si="4"/>
        <v>0</v>
      </c>
      <c r="J43" s="116">
        <f>IFERROR((G43-MIN(G5:G44))/(MAX(G5:G44)-MIN(G5:G44)),"")</f>
        <v>0.08333333333</v>
      </c>
      <c r="K43" s="117">
        <f t="shared" si="3"/>
        <v>0.007399577167</v>
      </c>
      <c r="L43" s="118">
        <f t="shared" si="5"/>
        <v>0.00563777308</v>
      </c>
      <c r="M43" s="114">
        <v>26000.0</v>
      </c>
      <c r="N43" s="114">
        <f t="shared" si="6"/>
        <v>21255.66667</v>
      </c>
    </row>
    <row r="44" ht="15.75" customHeight="1">
      <c r="A44" s="89">
        <v>2026.0</v>
      </c>
      <c r="B44" s="114">
        <v>5300.0</v>
      </c>
      <c r="C44" s="114">
        <v>15.0</v>
      </c>
      <c r="D44" s="114">
        <v>87.0</v>
      </c>
      <c r="E44" s="114">
        <v>0.0</v>
      </c>
      <c r="F44" s="114">
        <v>0.0</v>
      </c>
      <c r="G44" s="115">
        <f t="shared" si="2"/>
        <v>87</v>
      </c>
      <c r="H44" s="116">
        <f>IFERROR((C44-MIN(C5:C44))/(MAX(C5:C44)-MIN(C5:C44)),"")</f>
        <v>0.01902748414</v>
      </c>
      <c r="I44" s="116" t="str">
        <f t="shared" si="4"/>
        <v/>
      </c>
      <c r="J44" s="116">
        <f>IFERROR((G44-MIN(G5:G44))/(MAX(G5:G44)-MIN(G5:G44)),"")</f>
        <v>0.1053459119</v>
      </c>
      <c r="K44" s="117">
        <f t="shared" si="3"/>
        <v>0.009513742072</v>
      </c>
      <c r="L44" s="118"/>
      <c r="M44" s="114">
        <v>20500.0</v>
      </c>
      <c r="N44" s="114"/>
    </row>
    <row r="45" ht="15.75" customHeight="1"/>
    <row r="46" ht="15.75" customHeight="1">
      <c r="A46" s="121"/>
      <c r="K46" s="122"/>
    </row>
    <row r="47" ht="15.75" customHeight="1"/>
    <row r="48" ht="15.75" customHeight="1">
      <c r="A48" s="103" t="s">
        <v>346</v>
      </c>
    </row>
    <row r="49" ht="15.75" customHeight="1">
      <c r="A49" s="103" t="s">
        <v>347</v>
      </c>
    </row>
    <row r="50" ht="15.75" customHeight="1">
      <c r="A50" s="103" t="s">
        <v>348</v>
      </c>
    </row>
    <row r="51" ht="15.75" customHeight="1">
      <c r="A51" s="103"/>
    </row>
    <row r="52" ht="15.75" customHeight="1">
      <c r="A52" s="10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L1"/>
    <mergeCell ref="A2:L2"/>
    <mergeCell ref="A48:L48"/>
    <mergeCell ref="A49:L49"/>
    <mergeCell ref="A50:L50"/>
    <mergeCell ref="A51:L51"/>
    <mergeCell ref="A52:L52"/>
  </mergeCells>
  <printOptions/>
  <pageMargins bottom="1.0" footer="0.0" header="0.0" left="0.75" right="0.75" top="1.0"/>
  <pageSetup paperSize="9" orientation="portrait"/>
  <drawing r:id="rId1"/>
</worksheet>
</file>