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C" sheetId="1" r:id="rId5"/>
    <sheet state="visible" name="Dane" sheetId="2" r:id="rId6"/>
    <sheet state="visible" name="Średnie i wykres" sheetId="3" r:id="rId7"/>
    <sheet state="visible" name="Wykresy oddzielne prasa policja" sheetId="4" r:id="rId8"/>
    <sheet state="visible" name="Dane_Revo" sheetId="5" r:id="rId9"/>
    <sheet state="visible" name="Średnie i wykres Revo" sheetId="6" r:id="rId10"/>
    <sheet state="visible" name="Dane_Antinazi" sheetId="7" r:id="rId11"/>
    <sheet state="visible" name="Średnie i wykres Antinazi" sheetId="8" r:id="rId12"/>
    <sheet state="visible" name="Dane_Nazi" sheetId="9" r:id="rId13"/>
    <sheet state="visible" name="Średnie i wykres Nazi" sheetId="10" r:id="rId14"/>
    <sheet state="visible" name="Dane_MyFest" sheetId="11" r:id="rId15"/>
    <sheet state="visible" name="Średnie i wykresy Myfest" sheetId="12" r:id="rId16"/>
    <sheet state="visible" name="Dane_Mariannenplatz" sheetId="13" r:id="rId17"/>
    <sheet state="visible" name="Średnie i wykresy Mariannenplat" sheetId="14" r:id="rId18"/>
    <sheet state="visible" name="Dane_Revo_joint" sheetId="15" r:id="rId19"/>
    <sheet state="visible" name="Srednie i wykresy Revo_Joint" sheetId="16" r:id="rId20"/>
    <sheet state="visible" name="Dane_Ost_PDS" sheetId="17" r:id="rId21"/>
    <sheet state="visible" name="Srednie i wykresy Ost_PDS" sheetId="18" r:id="rId22"/>
    <sheet state="visible" name="Euro MayDay" sheetId="19" r:id="rId23"/>
    <sheet state="visible" name="Średnie i wykres EuroMayDay" sheetId="20" r:id="rId24"/>
    <sheet state="visible" name="Dane_Revo13" sheetId="21" r:id="rId25"/>
    <sheet state="visible" name="Średnie i wykres Revo13" sheetId="22" r:id="rId26"/>
    <sheet state="visible" name="Dane_MyGruni" sheetId="23" r:id="rId27"/>
    <sheet state="visible" name="Średnie i wykres MyGruni" sheetId="24" r:id="rId28"/>
    <sheet state="visible" name="Berlin election calendar" sheetId="25" r:id="rId29"/>
    <sheet state="visible" name="1950-2019 Berlin data" sheetId="26" r:id="rId30"/>
    <sheet state="visible" name="DGB Main events_attendance_comp" sheetId="27" r:id="rId31"/>
    <sheet state="visible" name="DGB BB central events" sheetId="28" r:id="rId32"/>
    <sheet state="visible" name="Weather and Calendar" sheetId="29" r:id="rId33"/>
  </sheets>
  <definedNames/>
  <calcPr/>
</workbook>
</file>

<file path=xl/sharedStrings.xml><?xml version="1.0" encoding="utf-8"?>
<sst xmlns="http://schemas.openxmlformats.org/spreadsheetml/2006/main" count="1484" uniqueCount="531">
  <si>
    <t>Dane</t>
  </si>
  <si>
    <t>Rok</t>
  </si>
  <si>
    <t>Liczba uczestników</t>
  </si>
  <si>
    <t>Źródło</t>
  </si>
  <si>
    <t>Kategoria</t>
  </si>
  <si>
    <t>Dane R1M 18</t>
  </si>
  <si>
    <t>Prasa</t>
  </si>
  <si>
    <t>Organizatorzy</t>
  </si>
  <si>
    <t>Policja</t>
  </si>
  <si>
    <t>Gluckspilz</t>
  </si>
  <si>
    <t>Średnia ogólna</t>
  </si>
  <si>
    <t>prasa</t>
  </si>
  <si>
    <t>Junge Welt</t>
  </si>
  <si>
    <t>średnia metoda alt</t>
  </si>
  <si>
    <t>Glückspilz</t>
  </si>
  <si>
    <t>Neues Deutschland</t>
  </si>
  <si>
    <t>Różnica %</t>
  </si>
  <si>
    <t>ND</t>
  </si>
  <si>
    <t>średnia ruchoma</t>
  </si>
  <si>
    <t>TAZ</t>
  </si>
  <si>
    <t>policja</t>
  </si>
  <si>
    <t>organizatorzy</t>
  </si>
  <si>
    <t>Tagesspiegel</t>
  </si>
  <si>
    <t>-</t>
  </si>
  <si>
    <t>Beliner Zeitung</t>
  </si>
  <si>
    <t>rbb</t>
  </si>
  <si>
    <t>"mehrere Tausend" (taz)</t>
  </si>
  <si>
    <t>Christine Bretz, DGB Berlin (taz)</t>
  </si>
  <si>
    <t>Kronika Berlina</t>
  </si>
  <si>
    <t>stressfaktor</t>
  </si>
  <si>
    <t>Berliner Morgenpost DGBG657</t>
  </si>
  <si>
    <t>taz</t>
  </si>
  <si>
    <t>LÖPA</t>
  </si>
  <si>
    <t>Neues Deutschland (Kritische Gewerkschaften s.71)</t>
  </si>
  <si>
    <t>10-12k (Gluckspilz, stressfaktor)</t>
  </si>
  <si>
    <t>DGBG000656</t>
  </si>
  <si>
    <t>Umbruch</t>
  </si>
  <si>
    <t>Berliner Zeitung 2.05.1992</t>
  </si>
  <si>
    <t>Taz 3.05</t>
  </si>
  <si>
    <t>Neues Deutschland 3.05; Berliner Zeitung 3.05 za DGB</t>
  </si>
  <si>
    <t>police</t>
  </si>
  <si>
    <t>Berliner Kurier</t>
  </si>
  <si>
    <t>organisers via BZ</t>
  </si>
  <si>
    <t>DGBG664</t>
  </si>
  <si>
    <t>police via taz</t>
  </si>
  <si>
    <t>TAZ 2.05</t>
  </si>
  <si>
    <t>"mehr als 10.000" ~ 12000 (Umbruch)</t>
  </si>
  <si>
    <t>police, via Tagesspiegel ticker 2010</t>
  </si>
  <si>
    <t>"über 10.000 TeilnehmerInnen" ~ 12000 (Umbruch archiv)</t>
  </si>
  <si>
    <t>Berliner Morgenpost (DGBB664)</t>
  </si>
  <si>
    <t>police, via Tagesspiegel ticker</t>
  </si>
  <si>
    <t>Berliner Zeitung (DGBB664)</t>
  </si>
  <si>
    <t>Umbruch Archiv</t>
  </si>
  <si>
    <t>DPA</t>
  </si>
  <si>
    <t>polica via BZ</t>
  </si>
  <si>
    <t>DGBG1329</t>
  </si>
  <si>
    <t>rbb B1 1. Mai Spezial</t>
  </si>
  <si>
    <t>organisers, via tagesspiegel</t>
  </si>
  <si>
    <t>dpa</t>
  </si>
  <si>
    <t>BZ</t>
  </si>
  <si>
    <t>Umbruch (mehr als 15.000)</t>
  </si>
  <si>
    <t>DGBG1327 (15000–20000, środek przedziału)</t>
  </si>
  <si>
    <t>Police (za BM)</t>
  </si>
  <si>
    <t>organisers</t>
  </si>
  <si>
    <t>TAZ 3.05</t>
  </si>
  <si>
    <t>police via Tsg</t>
  </si>
  <si>
    <t>policja za taz</t>
  </si>
  <si>
    <t>organisers, via taz</t>
  </si>
  <si>
    <t>DGB (za Berliner Zeitung 3.05)</t>
  </si>
  <si>
    <t>police, taz liveticker</t>
  </si>
  <si>
    <t>Organizatorzy (za Tagesspiegel)</t>
  </si>
  <si>
    <t>organisers, taz liveticker</t>
  </si>
  <si>
    <t>police, Berliner Morgenpost ticker 2018</t>
  </si>
  <si>
    <t>organizers, umbruch archiv</t>
  </si>
  <si>
    <t>Poicja (za Tagsspl)</t>
  </si>
  <si>
    <t>DGBAI3702</t>
  </si>
  <si>
    <t>organisers, Umbruch Archiv</t>
  </si>
  <si>
    <t>press, Perspektive</t>
  </si>
  <si>
    <t>police, via Berliner Zeitung</t>
  </si>
  <si>
    <t>mehrere tausend</t>
  </si>
  <si>
    <t>police, via BM</t>
  </si>
  <si>
    <t>Berliner Zeitung</t>
  </si>
  <si>
    <t>organizatorzy, Umbruch Archiv</t>
  </si>
  <si>
    <t>organizatorzy, via BM</t>
  </si>
  <si>
    <t>Tagesspiegel (za organizatorami)</t>
  </si>
  <si>
    <t>police via BM</t>
  </si>
  <si>
    <t>Taz 2.05</t>
  </si>
  <si>
    <t>polizei Meldung</t>
  </si>
  <si>
    <t>Helbrecht (za policją)</t>
  </si>
  <si>
    <t>organizatorzy via Tsg</t>
  </si>
  <si>
    <t>TAZ 2.05 s.21 za organizatorami</t>
  </si>
  <si>
    <t>Die Welt 3.05 / Hamburger Abendblatt 3.05 (organizatorzy)</t>
  </si>
  <si>
    <t>Tagesspiegel (za policją)</t>
  </si>
  <si>
    <t>Strona arch. DGB</t>
  </si>
  <si>
    <t>Petra Pau i Berliner Zeitung (za DGB)</t>
  </si>
  <si>
    <t>Geschäftsbericht</t>
  </si>
  <si>
    <t>BK 2.05</t>
  </si>
  <si>
    <t>TAZ / BK 2.05 (mehrere Tausend → ~3000)</t>
  </si>
  <si>
    <t>weit mehr als 6000 (BZ 2.05.2008)</t>
  </si>
  <si>
    <t>Helbrecht (weit weniger als 6000 → ~5000)</t>
  </si>
  <si>
    <t>TAZ liveticker (za organizatorami)</t>
  </si>
  <si>
    <t>Helbrecht (za policją 2500; mało wiarygodne)</t>
  </si>
  <si>
    <t>Berliner Morgenpost (za organizatorami)</t>
  </si>
  <si>
    <t>rbb za organizatorami</t>
  </si>
  <si>
    <t>Berliner Morgenpost (za policją)</t>
  </si>
  <si>
    <t>Tagesspiegel 2.05 (12000–15000, środek)</t>
  </si>
  <si>
    <t>taz 2.05</t>
  </si>
  <si>
    <t>DGB BB</t>
  </si>
  <si>
    <t>Welt 2.05 (7000–12000, środek)</t>
  </si>
  <si>
    <t>rbb za DGB</t>
  </si>
  <si>
    <t>TAZ liveticker 1.05 za organizatorami</t>
  </si>
  <si>
    <t>BZ / DGB BB internet (za organizatorami)</t>
  </si>
  <si>
    <t>Neues Deutschland (za organizatorami)</t>
  </si>
  <si>
    <t>DGB online</t>
  </si>
  <si>
    <t>odwołano</t>
  </si>
  <si>
    <t>Tylko na zaproszenie</t>
  </si>
  <si>
    <t>BM</t>
  </si>
  <si>
    <t>Naturfreunde</t>
  </si>
  <si>
    <t>Dane Antinazi</t>
  </si>
  <si>
    <t>Breitenbach (JW 3.05)</t>
  </si>
  <si>
    <t>Tsg, s. 11</t>
  </si>
  <si>
    <t>Polizeiliche darstellung</t>
  </si>
  <si>
    <t>Berliner Bundnis gegen Rechts</t>
  </si>
  <si>
    <t>nd</t>
  </si>
  <si>
    <t>andere Gruppen</t>
  </si>
  <si>
    <t>Datum</t>
  </si>
  <si>
    <t>Titel</t>
  </si>
  <si>
    <t>Thema</t>
  </si>
  <si>
    <t>Dauer</t>
  </si>
  <si>
    <t>Archiv ID</t>
  </si>
  <si>
    <t>FIDOS</t>
  </si>
  <si>
    <t>100 Jahre 1. Mai</t>
  </si>
  <si>
    <t>75'28"</t>
  </si>
  <si>
    <t>Tag der Arbeit</t>
  </si>
  <si>
    <t>Sternmarsch des DGB in Berlin</t>
  </si>
  <si>
    <t>28'47"</t>
  </si>
  <si>
    <t>Abendschau</t>
  </si>
  <si>
    <t>1.Mai 1993 - offizielle Demonstrationen in Berlin</t>
  </si>
  <si>
    <t>2'36"</t>
  </si>
  <si>
    <t>1.Mai 1995 - DGB-Kundgebung</t>
  </si>
  <si>
    <t>1'28"</t>
  </si>
  <si>
    <t>SpätAbendschau</t>
  </si>
  <si>
    <t>Bilanz 1.Mai 1996 / Aufschwung Ost</t>
  </si>
  <si>
    <t>0'42"</t>
  </si>
  <si>
    <t>Demonstrationen am Vorabend des 1. Mai</t>
  </si>
  <si>
    <t>2'04"</t>
  </si>
  <si>
    <t>DGB-Demonstration und -kundgebung zum 1. Mai</t>
  </si>
  <si>
    <t>0'59"</t>
  </si>
  <si>
    <t>Revolutionäre Mai-Demonstration in Kreuzberg</t>
  </si>
  <si>
    <t>1'38"</t>
  </si>
  <si>
    <t>NPD-Demonstration in Hellersdorf</t>
  </si>
  <si>
    <t>2'45"</t>
  </si>
  <si>
    <t>Walpurgisnacht und 1. Mai</t>
  </si>
  <si>
    <t>1'18"</t>
  </si>
  <si>
    <t>Aktuelle Abendereignisse am 1. Mai 2002</t>
  </si>
  <si>
    <t>1'45"</t>
  </si>
  <si>
    <t>NPD-Demonstration</t>
  </si>
  <si>
    <t>0'28"</t>
  </si>
  <si>
    <t>Kundgebungen zum 1. Mai 2002 von DGB und PDS</t>
  </si>
  <si>
    <t>1'29"</t>
  </si>
  <si>
    <t>1. Mai 2002 - Nachlese und Bilanz der Ausschreitungen</t>
  </si>
  <si>
    <t>Bilanz 1. Mai 2003</t>
  </si>
  <si>
    <t>2'15"</t>
  </si>
  <si>
    <t>Nachklapp 1. Mai</t>
  </si>
  <si>
    <t>2'23"</t>
  </si>
  <si>
    <t>N/A</t>
  </si>
  <si>
    <t>Off-Maz: 1. Mai in Berlin</t>
  </si>
  <si>
    <t>Walpurgisnacht blieb eher ruhig</t>
  </si>
  <si>
    <t>1'53"</t>
  </si>
  <si>
    <t>Liveschalte zur Walpurgisnacht im Mauerpark</t>
  </si>
  <si>
    <t>4'33"</t>
  </si>
  <si>
    <t>Zusammenfassung Walpurgisnacht</t>
  </si>
  <si>
    <t>Bilanz des 1. Mai</t>
  </si>
  <si>
    <t>Anti-Nazi-Demo in Schöneweide</t>
  </si>
  <si>
    <t>0'22"</t>
  </si>
  <si>
    <t>Nachklapp 1.Mai 2014</t>
  </si>
  <si>
    <t>1'34"</t>
  </si>
  <si>
    <t>Der Tag nach dem 1. Mai</t>
  </si>
  <si>
    <t>2'06"</t>
  </si>
  <si>
    <t>DGB-Demo am Brandenburger Tor</t>
  </si>
  <si>
    <t>0'58"</t>
  </si>
  <si>
    <t>średnia ogólna</t>
  </si>
  <si>
    <t>organizatorzy vs prasa</t>
  </si>
  <si>
    <t>organizatorzy vs policja</t>
  </si>
  <si>
    <t/>
  </si>
  <si>
    <t>jw</t>
  </si>
  <si>
    <t>TsG, s. 11</t>
  </si>
  <si>
    <t>taz, za policją</t>
  </si>
  <si>
    <t>TsG</t>
  </si>
  <si>
    <t>taz liveticker</t>
  </si>
  <si>
    <t>(TsG) – Prenzlauer Berg + Ku'Damm</t>
  </si>
  <si>
    <t>apabiz.de</t>
  </si>
  <si>
    <r>
      <rPr>
        <rFont val="Arial"/>
        <sz val="10.0"/>
      </rPr>
      <t xml:space="preserve">Störungsmelder, </t>
    </r>
    <r>
      <rPr>
        <rFont val="Arial"/>
        <color rgb="FF1155CC"/>
        <sz val="10.0"/>
        <u/>
      </rPr>
      <t>blog.zeit.de</t>
    </r>
  </si>
  <si>
    <t>rbb (AfD Fest)</t>
  </si>
  <si>
    <t>taz (AfD Fest)</t>
  </si>
  <si>
    <t>AfD</t>
  </si>
  <si>
    <t>Dane MyFest</t>
  </si>
  <si>
    <t>taz 16.01</t>
  </si>
  <si>
    <t>BZ 17.01</t>
  </si>
  <si>
    <t>Helbrecht</t>
  </si>
  <si>
    <t>organizatorzy via taz</t>
  </si>
  <si>
    <t>"mehrere zeintausend" Franz Schulz (Grüne), za BZ 3.05</t>
  </si>
  <si>
    <t>policja via MAZ</t>
  </si>
  <si>
    <t>knapp 30 000 police via Stuttgarter Nachrichten</t>
  </si>
  <si>
    <t>taz 1.05.2013</t>
  </si>
  <si>
    <t>organisers via Tsg</t>
  </si>
  <si>
    <t>Berliner Morgenpost</t>
  </si>
  <si>
    <t>szacunki (MyFest + MaiGörli)</t>
  </si>
  <si>
    <t>szacunki</t>
  </si>
  <si>
    <t>d</t>
  </si>
  <si>
    <t>Dane Mariannenplatz</t>
  </si>
  <si>
    <t>taz; ta sama liczba, co MyFest</t>
  </si>
  <si>
    <t>(police, Gluckspilz)</t>
  </si>
  <si>
    <t>(organisers, Gluckspilz)</t>
  </si>
  <si>
    <t>policja, za rbb</t>
  </si>
  <si>
    <t>ND (demo Ost)</t>
  </si>
  <si>
    <t>taz (demo Ost)</t>
  </si>
  <si>
    <t>Zug der Widerspensigsten (JW)</t>
  </si>
  <si>
    <t>ZdW (JW)</t>
  </si>
  <si>
    <t>(Zug PDS) BZ</t>
  </si>
  <si>
    <t>PDS Kundgebung</t>
  </si>
  <si>
    <t>mehrere hundert, rbb</t>
  </si>
  <si>
    <t>"mehrere Tausend" PDS Kundgebung ~4000, ND</t>
  </si>
  <si>
    <t>PDS Kundgebung (organizatorzy, za ND)</t>
  </si>
  <si>
    <t>Polizei, za ND PDS Kundgebung</t>
  </si>
  <si>
    <t>PDS Fest, BZ</t>
  </si>
  <si>
    <t>PDS Veranstaltung ND</t>
  </si>
  <si>
    <t>PDS Kundgebung, ND</t>
  </si>
  <si>
    <t>PDS Kundgebung, BZ</t>
  </si>
  <si>
    <t>PDS Kundgebung, die Welt</t>
  </si>
  <si>
    <t>PDS Kundgebung, Berliner Kurier</t>
  </si>
  <si>
    <t>PDs Kundgebung, ND</t>
  </si>
  <si>
    <t>PDS Kundgebung Rucht</t>
  </si>
  <si>
    <t>PDS Kundgebung rbb</t>
  </si>
  <si>
    <t>Tsg, police</t>
  </si>
  <si>
    <t>mehr Menschen mit Kamera und Fotoapparat unterwegs als Demonstranten" (taz)</t>
  </si>
  <si>
    <t>"einige Hundert" ~300 (taz)</t>
  </si>
  <si>
    <t>JugendWiderstand</t>
  </si>
  <si>
    <t>taz ticker</t>
  </si>
  <si>
    <t>PM MyGruni</t>
  </si>
  <si>
    <t>Weit mehr als 2000 Menschen, BK 2.05.2019</t>
  </si>
  <si>
    <t>taz(4.05.2019)</t>
  </si>
  <si>
    <t>(organisers via Berliner Zeitung 1.05.2019)</t>
  </si>
  <si>
    <t>3000 (Berliner Zeitung, 2.05.2019)</t>
  </si>
  <si>
    <t>Data</t>
  </si>
  <si>
    <t>Rodzaj</t>
  </si>
  <si>
    <t>Dzień roku</t>
  </si>
  <si>
    <t>May 1st day of the year</t>
  </si>
  <si>
    <t>Komunalne (Wschód)</t>
  </si>
  <si>
    <t xml:space="preserve">Abgeordnetenhaus + BVV </t>
  </si>
  <si>
    <t>Bundestag</t>
  </si>
  <si>
    <t xml:space="preserve">BVV (komunalne) </t>
  </si>
  <si>
    <t xml:space="preserve">Europejskie </t>
  </si>
  <si>
    <t xml:space="preserve">Bundestag </t>
  </si>
  <si>
    <t>Dane własne</t>
  </si>
  <si>
    <t>Dane Rucht</t>
  </si>
  <si>
    <t>Dane alternatywne??</t>
  </si>
  <si>
    <t>Thamm 1990</t>
  </si>
  <si>
    <t>Höchste Zeit für Neue Zeiten</t>
  </si>
  <si>
    <t>Es geht ums Ganze: Sozialstaat sichern, Arbeit schaffen, soziale Gerechtigkeitverwirklichen</t>
  </si>
  <si>
    <t>Deine Stimme für Arbeit und soziale Gerechtigkeit</t>
  </si>
  <si>
    <t>Neues handeln. Für unser Land</t>
  </si>
  <si>
    <t>Jetzt aufbrechen: Für mehr Beschäftigung</t>
  </si>
  <si>
    <t>Zukunft braucht alle Köpfe. Mitbestimmung gewinnt</t>
  </si>
  <si>
    <t>Globalisierung gerecht gestalten</t>
  </si>
  <si>
    <t>Reformen Ja! Sozialabbau Nein Danke!</t>
  </si>
  <si>
    <t>Unser Europa – frei, gleich, gerecht</t>
  </si>
  <si>
    <t>Du bist mehr. Mehr als ein Nummer. Mehr als ein Kostenfaktor. Du hast Würde. Zeig sie!</t>
  </si>
  <si>
    <t>Deine Würde ist unser Maß</t>
  </si>
  <si>
    <t>Du hast mehr verdient – Mehr Respekt. Soziale Gerechtigkeit. Gute Arbeit</t>
  </si>
  <si>
    <t>Gute Arbeit muss drin sein!</t>
  </si>
  <si>
    <t>Arbeit für alle! Bei fairem Lohn</t>
  </si>
  <si>
    <t>Wir gehen vor! Gute Arbei. Gerechte Löhne. Starker Sozialstaat</t>
  </si>
  <si>
    <t>Das ist das Mindeste! Faire Löhne, gute Arbeit, soziale Sicherheit</t>
  </si>
  <si>
    <t>Gute Arbeit für Europa – Gerechte Lohne und soziale Sicherheit</t>
  </si>
  <si>
    <t>1. Mai – Unser Tag: Gute Arbeit, Sichere Rente, Soziales Europa</t>
  </si>
  <si>
    <t>Gute Arbeit. Soziales Europa</t>
  </si>
  <si>
    <t>Die Arbeit der Zukunft gestalten wir</t>
  </si>
  <si>
    <t>Zeit für mehr Solidarität</t>
  </si>
  <si>
    <t>Wir sind viele, wir sind eins!</t>
  </si>
  <si>
    <t>Solidarität, Vielfalt, Gerechtigkeit</t>
  </si>
  <si>
    <t>Europa. Jetzt aber richtig!</t>
  </si>
  <si>
    <t>Act</t>
  </si>
  <si>
    <t>Genre / Description</t>
  </si>
  <si>
    <t>Origin</t>
  </si>
  <si>
    <t>BVG-Orchester</t>
  </si>
  <si>
    <t>Symphonic wind orchestra of Berlin's public transit (~40-55 musicians); baroque to contemporary, operetta, swing, film music</t>
  </si>
  <si>
    <t>Berlin (founded 1902 as Kapelle der Großen-Berliner-Straßenbahn)</t>
  </si>
  <si>
    <t>BSR-Orchester</t>
  </si>
  <si>
    <t>Brass band of Berlin's municipal sanitation company — marches, polkas, waltzes, light entertainment</t>
  </si>
  <si>
    <t>Berlin (municipal company)</t>
  </si>
  <si>
    <t>Männer-Klein-Kunst-Truppe</t>
  </si>
  <si>
    <t>Kleinkunst / cabaret troupe (small-format stage act); name suggests an all-male ensemble</t>
  </si>
  <si>
    <t>Nummers &amp; Co.</t>
  </si>
  <si>
    <t>Band/act, type unconfirmed</t>
  </si>
  <si>
    <t>Bootleg</t>
  </si>
  <si>
    <t>Band, type unconfirmed (name is too generic to identify with confidence)</t>
  </si>
  <si>
    <t>Gleisberg</t>
  </si>
  <si>
    <t>Act, type unconfirmed (possibly a surname-named solo act or band)</t>
  </si>
  <si>
    <t>Arbeitsloseninitiative</t>
  </si>
  <si>
    <t>Musical/performance group attached to an unemployment self-help initiative — common format in 1990s Berlin labour-movement-adjacent cultural work</t>
  </si>
  <si>
    <t>Berlin (likely; specific group not pinned down)</t>
  </si>
  <si>
    <t>Manfred Birkhahn (Redner)</t>
  </si>
  <si>
    <t>Speaker — chair of HBV Berlin (Gewerkschaft Handel, Banken und Versicherungen), trade union for retail, banking and insurance workers (merged into ver.di in 2001)</t>
  </si>
  <si>
    <t>Berlin</t>
  </si>
  <si>
    <t>Central event</t>
  </si>
  <si>
    <t>Decade share</t>
  </si>
  <si>
    <t>What percentage of main regional events take place in Berlin</t>
  </si>
  <si>
    <t>1990_DE</t>
  </si>
  <si>
    <t>Michael Pagels</t>
  </si>
  <si>
    <t>1991_DE</t>
  </si>
  <si>
    <t>Christiane Bretz</t>
  </si>
  <si>
    <t>1992_DE</t>
  </si>
  <si>
    <t>Dieter Scholz</t>
  </si>
  <si>
    <t>1993_DE</t>
  </si>
  <si>
    <t>Cottbus</t>
  </si>
  <si>
    <t>Doro Zinke</t>
  </si>
  <si>
    <t>1994_DE</t>
  </si>
  <si>
    <t>Potsdam</t>
  </si>
  <si>
    <t>Christian Hoßbach</t>
  </si>
  <si>
    <t>1995_DE</t>
  </si>
  <si>
    <t>Frankfurt (Oder)</t>
  </si>
  <si>
    <t>1996_DE</t>
  </si>
  <si>
    <t>1997_DE</t>
  </si>
  <si>
    <t>Neuruppin</t>
  </si>
  <si>
    <t>1998_DE</t>
  </si>
  <si>
    <t>1999_DE</t>
  </si>
  <si>
    <t>2000_DE</t>
  </si>
  <si>
    <t>2001_DE</t>
  </si>
  <si>
    <t>2002_DE</t>
  </si>
  <si>
    <t>2003_DE</t>
  </si>
  <si>
    <t>2004_DE</t>
  </si>
  <si>
    <t>Berlin (?)</t>
  </si>
  <si>
    <t>2005_DE</t>
  </si>
  <si>
    <t>2006_DE</t>
  </si>
  <si>
    <t>2007_DE</t>
  </si>
  <si>
    <t>Henningsdorf</t>
  </si>
  <si>
    <t>2008_DE</t>
  </si>
  <si>
    <t>2009_DE</t>
  </si>
  <si>
    <t>2010_DE</t>
  </si>
  <si>
    <t>2011_DE</t>
  </si>
  <si>
    <t>2012_DE</t>
  </si>
  <si>
    <t>2013_DE</t>
  </si>
  <si>
    <t>2014_DE</t>
  </si>
  <si>
    <t>2015_DE</t>
  </si>
  <si>
    <t>2016_DE</t>
  </si>
  <si>
    <t>2017_DE</t>
  </si>
  <si>
    <t>2018_DE</t>
  </si>
  <si>
    <t>2019_DE</t>
  </si>
  <si>
    <t>Year</t>
  </si>
  <si>
    <t>Motto</t>
  </si>
  <si>
    <t>Main rally</t>
  </si>
  <si>
    <t>Vorabendveranstaltung</t>
  </si>
  <si>
    <t>Main speaker</t>
  </si>
  <si>
    <t>Germany attendance</t>
  </si>
  <si>
    <t>Berlin DGB attendance</t>
  </si>
  <si>
    <t>Berlin/Germany attendance</t>
  </si>
  <si>
    <t>Ruf der Gewerkschaften an alle Arbeiter...</t>
  </si>
  <si>
    <t>Hannover, Braunschweig</t>
  </si>
  <si>
    <t>—</t>
  </si>
  <si>
    <t>Hans Böckler</t>
  </si>
  <si>
    <t>Völkerfrieden, soziale Sicherheit, Freiheit</t>
  </si>
  <si>
    <t>Düsseldorf</t>
  </si>
  <si>
    <t>Georg Reuter</t>
  </si>
  <si>
    <t>Frieden in Freiheit und soziale Sicherheit</t>
  </si>
  <si>
    <t>Frankfurt/M.</t>
  </si>
  <si>
    <t>Christian Fette, Theodor Heuss, Ernst Reuter</t>
  </si>
  <si>
    <t>Brak motta</t>
  </si>
  <si>
    <t>München</t>
  </si>
  <si>
    <t>Walter Freitag, Adolf Kummernuss</t>
  </si>
  <si>
    <t>Einheit, Frieden, Freiheit</t>
  </si>
  <si>
    <t>Bremen</t>
  </si>
  <si>
    <t>40 Stunden sind genug - 5 Tage sind genug</t>
  </si>
  <si>
    <t>Stuttgart</t>
  </si>
  <si>
    <t>Samstag gehört Vati mir</t>
  </si>
  <si>
    <t>Ludwigshafen</t>
  </si>
  <si>
    <t>Wiedervereinigung - ohne Gewalt - doch bald</t>
  </si>
  <si>
    <t>Willi Richter, Otto Suhr</t>
  </si>
  <si>
    <t>Frieden, Freiheit, Fortschritt</t>
  </si>
  <si>
    <t>Hamburg</t>
  </si>
  <si>
    <t>Willi Richter</t>
  </si>
  <si>
    <t>Wiedervereinigung, Freiheit, Sicherheit</t>
  </si>
  <si>
    <t>Neunkirchen, Osnabrück, i in.</t>
  </si>
  <si>
    <t>Saarbrücken</t>
  </si>
  <si>
    <t>G. Reuter, B. Tacke, L. Rosenberg i in.</t>
  </si>
  <si>
    <t>Schon Vatis Opa war dabei, 70 Jahre 1. Mai</t>
  </si>
  <si>
    <t>München, Bottrop, i in.</t>
  </si>
  <si>
    <t>Mühlheim/Ruhr</t>
  </si>
  <si>
    <t>L. Rosenberg, B. Tacke, H. Beermann i in.</t>
  </si>
  <si>
    <t>Freiheit – Solidarität</t>
  </si>
  <si>
    <t>Nicht Atomwaffen... In Frieden Arbeiten...</t>
  </si>
  <si>
    <t>Die Grundrechte sihern...</t>
  </si>
  <si>
    <t>Bochum</t>
  </si>
  <si>
    <t>Ludwig Rosenberg</t>
  </si>
  <si>
    <t>Sonst wären wir nicht soweit – DGB</t>
  </si>
  <si>
    <t>Ludwig Rosenberg, Hans-Jochen Vogel</t>
  </si>
  <si>
    <t>... wichtiger ist der Mensch – DGB</t>
  </si>
  <si>
    <t>Ludwig Rosenberg, Paul Nevermann</t>
  </si>
  <si>
    <t>... dabei sein, mitbestimmen, Erfolg haben</t>
  </si>
  <si>
    <t>Essen</t>
  </si>
  <si>
    <t>Auf sozialen Kurs voran – DGB</t>
  </si>
  <si>
    <t>Koblenz</t>
  </si>
  <si>
    <t>Ludwig Rosenberg, Willy Brandt</t>
  </si>
  <si>
    <t>Starke Gewerkschaften - Deine Sicherheit</t>
  </si>
  <si>
    <t>Mannheim</t>
  </si>
  <si>
    <t>Die Zukunft gewinnen - Mitbestimmen</t>
  </si>
  <si>
    <r>
      <rPr>
        <rFont val="Arial"/>
        <color theme="1"/>
      </rPr>
      <t xml:space="preserve">Hamburg / </t>
    </r>
    <r>
      <rPr>
        <rFont val="Arial"/>
        <b/>
        <color theme="1"/>
      </rPr>
      <t>Berlin</t>
    </r>
  </si>
  <si>
    <t>Bonn</t>
  </si>
  <si>
    <t>Otto Brenner, Willy Brandt / L. Rosenberg</t>
  </si>
  <si>
    <t>Wir sichern den Fortschritt – DGB</t>
  </si>
  <si>
    <t>Köln</t>
  </si>
  <si>
    <t>Heinz Oskar Vetter</t>
  </si>
  <si>
    <t>Der Mensch im Mittelpunkt – DGB</t>
  </si>
  <si>
    <t>Hannover</t>
  </si>
  <si>
    <t>H. O. Vetter, Willy Brandt</t>
  </si>
  <si>
    <t>Für eine bessere Welt – DGB</t>
  </si>
  <si>
    <t>Dortmund</t>
  </si>
  <si>
    <t>mitdenken - mitbestimmen mitverantworten</t>
  </si>
  <si>
    <t>H. O. Vetter</t>
  </si>
  <si>
    <t>Menschlichkeit - Sozialer Fortschritt</t>
  </si>
  <si>
    <t>Sichere Arbeitsplätze, Gerechtigkeit...</t>
  </si>
  <si>
    <t>Gelsenkirchen</t>
  </si>
  <si>
    <t>H. O. Vetter, Helmut Schmidt</t>
  </si>
  <si>
    <t>Vollbeschäftigung - Soziale Sicherheit</t>
  </si>
  <si>
    <t>...gemeinsam erreichen wir mehr</t>
  </si>
  <si>
    <t>Recht auf Arbeit - Zukunft sichern</t>
  </si>
  <si>
    <t>Arbeit für alle In einem Europa...</t>
  </si>
  <si>
    <t>Münster/Westfalen</t>
  </si>
  <si>
    <t>DGB-Einheitsgewerkschaften...</t>
  </si>
  <si>
    <t>Gerd Muhr, Helmut Schmidt</t>
  </si>
  <si>
    <t>Vollbeschäftigung, Mitbestimmung...</t>
  </si>
  <si>
    <t>Duisburg</t>
  </si>
  <si>
    <t>Arbeit für alle, in Frieden...</t>
  </si>
  <si>
    <t>Nürnberg</t>
  </si>
  <si>
    <t>H.O. Vetter, Helmut Schmidt</t>
  </si>
  <si>
    <t>Arbeit für alle, Mitbestimmung...</t>
  </si>
  <si>
    <t>Ernst Breit</t>
  </si>
  <si>
    <t>Arbeit für alle DGB</t>
  </si>
  <si>
    <t>Karlsruhe</t>
  </si>
  <si>
    <t>DGB - unsere Stärke heißt Solidarität</t>
  </si>
  <si>
    <t>Lübeck</t>
  </si>
  <si>
    <t>Mitmachen, Stark sein. Die Zukunft gestalten</t>
  </si>
  <si>
    <t>Arbeit schaffen - Umwelt schützen...</t>
  </si>
  <si>
    <t>Gerechtigkeit - Arbeit für alle...</t>
  </si>
  <si>
    <t>Mainz</t>
  </si>
  <si>
    <t>DGB - Für ein soziales Europa</t>
  </si>
  <si>
    <t>Recklinghausen</t>
  </si>
  <si>
    <t>Ernst Breit, Johannes Rau</t>
  </si>
  <si>
    <t>100 Jahre 1. Mai Solidarität...</t>
  </si>
  <si>
    <t>Ernst Breit, Hans-Jochen Vogel</t>
  </si>
  <si>
    <t>Soziale Einheit in Frieden und Freiheit</t>
  </si>
  <si>
    <t>Halle/Saale</t>
  </si>
  <si>
    <t>Heinz-Werner Meyer</t>
  </si>
  <si>
    <t>Teilen verbindet</t>
  </si>
  <si>
    <t>Zeichen setzen: Für Gleichberechtigung...</t>
  </si>
  <si>
    <t>Schwerin</t>
  </si>
  <si>
    <t>Arbeit, work, travail ....</t>
  </si>
  <si>
    <t>Die Arbeit geliebt, gehasst, gebraucht...</t>
  </si>
  <si>
    <t>Dieter Schulte</t>
  </si>
  <si>
    <t>Höchste Zeit für neue Zeiten</t>
  </si>
  <si>
    <t>Es geht ums Ganze: Sozialstaat sihern...</t>
  </si>
  <si>
    <t>Dieter Schulte, Erhard Pumm</t>
  </si>
  <si>
    <t>Deine Stimme für Arbeit...</t>
  </si>
  <si>
    <t>Neues handeln für unser Land</t>
  </si>
  <si>
    <t>Dieter Schulte, Roland Issen</t>
  </si>
  <si>
    <t>Jetzt aufbrechen: Für więcej Beschäftigung</t>
  </si>
  <si>
    <t>D. Schulte, R. Issen, Gerhard Schröder</t>
  </si>
  <si>
    <t>Zukunft braucht alle Köpfe...</t>
  </si>
  <si>
    <t>Rostock</t>
  </si>
  <si>
    <t>Dieter Schulte, Gerhard Schröder</t>
  </si>
  <si>
    <t>Leipzig</t>
  </si>
  <si>
    <t>Neu-Anspach</t>
  </si>
  <si>
    <t>Michael Sommer, Gerhard Schröder</t>
  </si>
  <si>
    <t>Michael Sommer</t>
  </si>
  <si>
    <t>Du bist mehr... Du hast Würde. Zeig sie!</t>
  </si>
  <si>
    <t>Wolfsburg</t>
  </si>
  <si>
    <t>Du hast mehr verdient...</t>
  </si>
  <si>
    <t>Day</t>
  </si>
  <si>
    <t>Wir gehen vor! Gute Arbeit...</t>
  </si>
  <si>
    <t>Das ist das Mindeste! Faire Löhne...</t>
  </si>
  <si>
    <t>Kassel</t>
  </si>
  <si>
    <t>Long weekend</t>
  </si>
  <si>
    <t>Weather 06–12h</t>
  </si>
  <si>
    <t>Attendance (trade union event)</t>
  </si>
  <si>
    <t>Gute Arbeit für Europa...</t>
  </si>
  <si>
    <t>Attendance (total)</t>
  </si>
  <si>
    <t>Attendance (TU excluded)</t>
  </si>
  <si>
    <t>Share of trade union attendance</t>
  </si>
  <si>
    <t>MA-3 share of trade union attendance</t>
  </si>
  <si>
    <t>1. Mai – Unser Tag: Gute Arbeit...</t>
  </si>
  <si>
    <t>Tue</t>
  </si>
  <si>
    <t>1d</t>
  </si>
  <si>
    <t>🌤 13.2°C</t>
  </si>
  <si>
    <t>Reiner Hoffmann</t>
  </si>
  <si>
    <t>–</t>
  </si>
  <si>
    <t>Wed</t>
  </si>
  <si>
    <t>🌧 6.7°C · 3.2mm</t>
  </si>
  <si>
    <t>Fri</t>
  </si>
  <si>
    <t>3d</t>
  </si>
  <si>
    <t>🌤 12.6°C</t>
  </si>
  <si>
    <t>Sat</t>
  </si>
  <si>
    <t>2d</t>
  </si>
  <si>
    <t>☀ 18.8°C</t>
  </si>
  <si>
    <t>Sun</t>
  </si>
  <si>
    <t>🥶 7.8°C</t>
  </si>
  <si>
    <t>Mon</t>
  </si>
  <si>
    <t>🌤 11.2°C</t>
  </si>
  <si>
    <t>🌤 11.6°C</t>
  </si>
  <si>
    <t>Thu</t>
  </si>
  <si>
    <t>4d</t>
  </si>
  <si>
    <t>🌤 10.3°C · 0.1mm</t>
  </si>
  <si>
    <t>☀ 15.8°C</t>
  </si>
  <si>
    <t>🥶 9.1°C</t>
  </si>
  <si>
    <t>☀ 18.1°C</t>
  </si>
  <si>
    <t>☀ 16.3°C</t>
  </si>
  <si>
    <t>🌤 14.6°C</t>
  </si>
  <si>
    <t>🌤 13.3°C · 0.5mm</t>
  </si>
  <si>
    <t>☀ 16.4°C</t>
  </si>
  <si>
    <t>☀ 16.5°C</t>
  </si>
  <si>
    <t>🥶 9°C</t>
  </si>
  <si>
    <t>🥶 7.9°C</t>
  </si>
  <si>
    <t>🌧 10.9°C · 3.9mm</t>
  </si>
  <si>
    <t>🌤 14.1°C</t>
  </si>
  <si>
    <t>🌤 13°C</t>
  </si>
  <si>
    <t>🥶 9.3°C</t>
  </si>
  <si>
    <t>☀ 16°C</t>
  </si>
  <si>
    <t>🌤 10.3°C</t>
  </si>
  <si>
    <t>🥶 9.2°C · 0.1mm</t>
  </si>
  <si>
    <t>🌤 11.7°C</t>
  </si>
  <si>
    <t>🌤 10°C</t>
  </si>
  <si>
    <t>🌤 11.8°C · 0.1mm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</si>
</sst>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0.0"/>
    <numFmt numFmtId="166" formatCode="dd.mm.yyyy."/>
    <numFmt numFmtId="167" formatCode="d.m.yyyy.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Arial"/>
    </font>
    <font>
      <b/>
      <color theme="1"/>
      <name val="Calibri"/>
      <scheme val="minor"/>
    </font>
    <font>
      <sz val="10.0"/>
      <color theme="1"/>
      <name val="Arial"/>
    </font>
    <font>
      <sz val="11.0"/>
      <color theme="1"/>
      <name val="Arial"/>
    </font>
    <font>
      <color rgb="FF000000"/>
      <name val="Helvetica Neue"/>
    </font>
    <font>
      <color theme="1"/>
      <name val="Arial"/>
    </font>
    <font>
      <u/>
      <sz val="10.0"/>
      <color rgb="FF0000FF"/>
      <name val="Arial"/>
    </font>
    <font>
      <sz val="11.0"/>
      <color theme="1"/>
      <name val="Calibri"/>
    </font>
    <font>
      <b/>
      <color theme="1"/>
      <name val="Arial"/>
    </font>
    <font>
      <u/>
      <color rgb="FF0000FF"/>
      <name val="Arial"/>
    </font>
    <font>
      <sz val="8.0"/>
      <color theme="1"/>
      <name val="'IBM Plex Mono'"/>
    </font>
    <font>
      <sz val="7.0"/>
      <color theme="1"/>
      <name val="'IBM Plex Mono'"/>
    </font>
    <font/>
    <font>
      <b/>
      <sz val="8.0"/>
      <color theme="1"/>
      <name val="'IBM Plex Mono'"/>
    </font>
  </fonts>
  <fills count="10">
    <fill>
      <patternFill patternType="none"/>
    </fill>
    <fill>
      <patternFill patternType="lightGray"/>
    </fill>
    <fill>
      <patternFill patternType="solid">
        <fgColor rgb="FF2E4057"/>
        <bgColor rgb="FF2E4057"/>
      </patternFill>
    </fill>
    <fill>
      <patternFill patternType="solid">
        <fgColor rgb="FF2980B9"/>
        <bgColor rgb="FF2980B9"/>
      </patternFill>
    </fill>
    <fill>
      <patternFill patternType="solid">
        <fgColor rgb="FF27AE60"/>
        <bgColor rgb="FF27AE60"/>
      </patternFill>
    </fill>
    <fill>
      <patternFill patternType="solid">
        <fgColor rgb="FFD6E4F0"/>
        <bgColor rgb="FFD6E4F0"/>
      </patternFill>
    </fill>
    <fill>
      <patternFill patternType="solid">
        <fgColor rgb="FFC0392B"/>
        <bgColor rgb="FFC0392B"/>
      </patternFill>
    </fill>
    <fill>
      <patternFill patternType="solid">
        <fgColor rgb="FFD5F5E3"/>
        <bgColor rgb="FFD5F5E3"/>
      </patternFill>
    </fill>
    <fill>
      <patternFill patternType="solid">
        <fgColor rgb="FFFAD7D7"/>
        <bgColor rgb="FFFAD7D7"/>
      </patternFill>
    </fill>
    <fill>
      <patternFill patternType="solid">
        <fgColor rgb="FFC8A050"/>
        <bgColor rgb="FFC8A050"/>
      </patternFill>
    </fill>
  </fills>
  <borders count="7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readingOrder="0"/>
    </xf>
    <xf borderId="1" fillId="4" fontId="2" numFmtId="0" xfId="0" applyAlignment="1" applyBorder="1" applyFill="1" applyFont="1">
      <alignment horizontal="center" shrinkToFit="0" vertical="bottom" wrapText="0"/>
    </xf>
    <xf borderId="1" fillId="5" fontId="4" numFmtId="0" xfId="0" applyAlignment="1" applyBorder="1" applyFill="1" applyFont="1">
      <alignment shrinkToFit="0" vertical="bottom" wrapText="0"/>
    </xf>
    <xf borderId="1" fillId="6" fontId="2" numFmtId="0" xfId="0" applyAlignment="1" applyBorder="1" applyFill="1" applyFont="1">
      <alignment horizontal="center" shrinkToFit="0" vertical="bottom" wrapText="0"/>
    </xf>
    <xf borderId="1" fillId="5" fontId="4" numFmtId="0" xfId="0" applyAlignment="1" applyBorder="1" applyFill="1" applyFont="1">
      <alignment readingOrder="0" shrinkToFit="0" vertical="bottom" wrapText="0"/>
    </xf>
    <xf borderId="2" fillId="2" fontId="2" numFmtId="0" xfId="0" applyAlignment="1" applyBorder="1" applyFill="1" applyFont="1">
      <alignment horizontal="center" shrinkToFit="0" vertical="bottom" wrapText="0"/>
    </xf>
    <xf borderId="1" fillId="7" fontId="4" numFmtId="0" xfId="0" applyAlignment="1" applyBorder="1" applyFill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7" fontId="4" numFmtId="0" xfId="0" applyAlignment="1" applyBorder="1" applyFill="1" applyFont="1">
      <alignment shrinkToFit="0" vertical="bottom" wrapText="0"/>
    </xf>
    <xf borderId="1" fillId="8" fontId="4" numFmtId="0" xfId="0" applyAlignment="1" applyBorder="1" applyFill="1" applyFont="1">
      <alignment readingOrder="0" shrinkToFit="0" vertical="bottom" wrapText="0"/>
    </xf>
    <xf borderId="3" fillId="0" fontId="6" numFmtId="0" xfId="0" applyAlignment="1" applyBorder="1" applyFont="1">
      <alignment readingOrder="0" vertical="top"/>
    </xf>
    <xf borderId="1" fillId="5" fontId="5" numFmtId="1" xfId="0" applyAlignment="1" applyBorder="1" applyFill="1" applyFont="1" applyNumberFormat="1">
      <alignment shrinkToFit="0" vertical="bottom" wrapText="0"/>
    </xf>
    <xf borderId="1" fillId="8" fontId="4" numFmtId="0" xfId="0" applyAlignment="1" applyBorder="1" applyFill="1" applyFont="1">
      <alignment shrinkToFit="0" vertical="bottom" wrapText="0"/>
    </xf>
    <xf borderId="1" fillId="7" fontId="5" numFmtId="0" xfId="0" applyAlignment="1" applyBorder="1" applyFill="1" applyFont="1">
      <alignment shrinkToFit="0" vertical="bottom" wrapText="0"/>
    </xf>
    <xf borderId="4" fillId="8" fontId="5" numFmtId="0" xfId="0" applyAlignment="1" applyBorder="1" applyFill="1" applyFont="1">
      <alignment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0" fillId="0" fontId="7" numFmtId="1" xfId="0" applyFont="1" applyNumberFormat="1"/>
    <xf borderId="0" fillId="0" fontId="1" numFmtId="1" xfId="0" applyFont="1" applyNumberFormat="1"/>
    <xf borderId="1" fillId="7" fontId="5" numFmtId="0" xfId="0" applyAlignment="1" applyBorder="1" applyFill="1" applyFont="1">
      <alignment readingOrder="0" shrinkToFit="0" vertical="bottom" wrapText="0"/>
    </xf>
    <xf borderId="0" fillId="0" fontId="1" numFmtId="0" xfId="0" applyFont="1"/>
    <xf borderId="0" fillId="0" fontId="3" numFmtId="0" xfId="0" applyAlignment="1" applyFont="1">
      <alignment horizontal="center" readingOrder="0"/>
    </xf>
    <xf borderId="3" fillId="0" fontId="1" numFmtId="0" xfId="0" applyAlignment="1" applyBorder="1" applyFont="1">
      <alignment readingOrder="0"/>
    </xf>
    <xf borderId="0" fillId="0" fontId="5" numFmtId="0" xfId="0" applyAlignment="1" applyFont="1">
      <alignment readingOrder="0" shrinkToFit="0" vertical="bottom" wrapText="0"/>
    </xf>
    <xf borderId="3" fillId="0" fontId="1" numFmtId="164" xfId="0" applyAlignment="1" applyBorder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1" fillId="7" fontId="8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readingOrder="0" vertical="top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3" numFmtId="0" xfId="0" applyFont="1"/>
    <xf borderId="0" fillId="0" fontId="1" numFmtId="167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7" numFmtId="1" xfId="0" applyAlignment="1" applyFont="1" applyNumberFormat="1">
      <alignment horizontal="right" vertical="bottom"/>
    </xf>
    <xf borderId="0" fillId="0" fontId="7" numFmtId="10" xfId="0" applyAlignment="1" applyFont="1" applyNumberFormat="1">
      <alignment vertical="bottom"/>
    </xf>
    <xf borderId="0" fillId="0" fontId="11" numFmtId="0" xfId="0" applyAlignment="1" applyFont="1">
      <alignment horizontal="right" vertical="bottom"/>
    </xf>
    <xf borderId="0" fillId="0" fontId="1" numFmtId="10" xfId="0" applyFont="1" applyNumberFormat="1"/>
    <xf borderId="0" fillId="0" fontId="1" numFmtId="9" xfId="0" applyFont="1" applyNumberFormat="1"/>
    <xf borderId="0" fillId="0" fontId="3" numFmtId="10" xfId="0" applyFont="1" applyNumberFormat="1"/>
    <xf borderId="0" fillId="0" fontId="7" numFmtId="0" xfId="0" applyAlignment="1" applyFont="1">
      <alignment readingOrder="0" vertical="bottom"/>
    </xf>
    <xf borderId="0" fillId="7" fontId="5" numFmtId="0" xfId="0" applyAlignment="1" applyFill="1" applyFont="1">
      <alignment shrinkToFit="0" vertical="bottom" wrapText="0"/>
    </xf>
    <xf borderId="0" fillId="0" fontId="10" numFmtId="0" xfId="0" applyAlignment="1" applyFont="1">
      <alignment horizontal="center" vertical="bottom"/>
    </xf>
    <xf borderId="0" fillId="0" fontId="12" numFmtId="3" xfId="0" applyAlignment="1" applyFont="1" applyNumberFormat="1">
      <alignment horizontal="center" readingOrder="0"/>
    </xf>
    <xf borderId="0" fillId="0" fontId="7" numFmtId="9" xfId="0" applyAlignment="1" applyFont="1" applyNumberFormat="1">
      <alignment vertical="bottom"/>
    </xf>
    <xf borderId="0" fillId="0" fontId="7" numFmtId="9" xfId="0" applyAlignment="1" applyFont="1" applyNumberFormat="1">
      <alignment readingOrder="0" vertical="bottom"/>
    </xf>
    <xf borderId="0" fillId="0" fontId="13" numFmtId="0" xfId="0" applyAlignment="1" applyFont="1">
      <alignment horizontal="center" readingOrder="0" vertical="bottom"/>
    </xf>
    <xf borderId="5" fillId="0" fontId="13" numFmtId="0" xfId="0" applyAlignment="1" applyBorder="1" applyFont="1">
      <alignment horizontal="center" readingOrder="0"/>
    </xf>
    <xf borderId="5" fillId="0" fontId="14" numFmtId="0" xfId="0" applyBorder="1" applyFont="1"/>
    <xf borderId="6" fillId="0" fontId="14" numFmtId="0" xfId="0" applyBorder="1" applyFont="1"/>
    <xf borderId="5" fillId="0" fontId="13" numFmtId="0" xfId="0" applyAlignment="1" applyBorder="1" applyFont="1">
      <alignment horizontal="right" readingOrder="0"/>
    </xf>
    <xf borderId="0" fillId="0" fontId="12" numFmtId="0" xfId="0" applyAlignment="1" applyFont="1">
      <alignment readingOrder="0"/>
    </xf>
    <xf borderId="5" fillId="0" fontId="15" numFmtId="3" xfId="0" applyAlignment="1" applyBorder="1" applyFont="1" applyNumberFormat="1">
      <alignment horizontal="center" readingOrder="0"/>
    </xf>
    <xf borderId="0" fillId="0" fontId="1" numFmtId="3" xfId="0" applyFont="1" applyNumberFormat="1"/>
    <xf borderId="0" fillId="9" fontId="12" numFmtId="0" xfId="0" applyAlignment="1" applyFill="1" applyFon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Berlin election calendar-style"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Dane!$A$2:$A$117</c:f>
            </c:numRef>
          </c:xVal>
          <c:yVal>
            <c:numRef>
              <c:f>Dane!$B$2:$B$117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251578"/>
        <c:axId val="1086551251"/>
      </c:scatterChart>
      <c:valAx>
        <c:axId val="14372515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6551251"/>
      </c:valAx>
      <c:valAx>
        <c:axId val="1086551251"/>
        <c:scaling>
          <c:orientation val="minMax"/>
          <c:max val="6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251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'Średnie i wykres'!$A$2:$A$38</c:f>
            </c:strRef>
          </c:cat>
          <c:val>
            <c:numRef>
              <c:f>'Średnie i wykres'!$F$2:$F$38</c:f>
              <c:numCache/>
            </c:numRef>
          </c:val>
        </c:ser>
        <c:axId val="2023033310"/>
        <c:axId val="1894799725"/>
      </c:barChart>
      <c:lineChart>
        <c:varyColors val="0"/>
        <c:ser>
          <c:idx val="1"/>
          <c:order val="1"/>
          <c:spPr>
            <a:ln cmpd="sng" w="38100">
              <a:solidFill>
                <a:srgbClr val="C0504D"/>
              </a:solidFill>
              <a:prstDash val="solid"/>
            </a:ln>
          </c:spPr>
          <c:marker>
            <c:symbol val="none"/>
          </c:marker>
          <c:cat>
            <c:strRef>
              <c:f>'Średnie i wykres'!$A$2:$A$38</c:f>
            </c:strRef>
          </c:cat>
          <c:val>
            <c:numRef>
              <c:f>'Średnie i wykres'!$H$2:$H$38</c:f>
              <c:numCache/>
            </c:numRef>
          </c:val>
          <c:smooth val="0"/>
        </c:ser>
        <c:axId val="2023033310"/>
        <c:axId val="1894799725"/>
      </c:lineChart>
      <c:catAx>
        <c:axId val="2023033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799725"/>
      </c:catAx>
      <c:valAx>
        <c:axId val="1894799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033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'Wykresy oddzielne prasa policja'!$B$2:$B$38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'Wykresy oddzielne prasa policja'!$C$2:$C$38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'Wykresy oddzielne prasa policja'!$D$2:$D$38</c:f>
              <c:numCache/>
            </c:numRef>
          </c:val>
        </c:ser>
        <c:axId val="1409550568"/>
        <c:axId val="750599318"/>
      </c:barChart>
      <c:catAx>
        <c:axId val="1409550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599318"/>
      </c:catAx>
      <c:valAx>
        <c:axId val="750599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550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Dane_Revo!$A$2:$A$65</c:f>
            </c:numRef>
          </c:xVal>
          <c:yVal>
            <c:numRef>
              <c:f>Dane_Revo!$B$2:$B$65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0487"/>
        <c:axId val="2123250060"/>
      </c:scatterChart>
      <c:valAx>
        <c:axId val="201204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3250060"/>
      </c:valAx>
      <c:valAx>
        <c:axId val="2123250060"/>
        <c:scaling>
          <c:orientation val="minMax"/>
          <c:max val="6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204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'Średnie i wykres Revo'!$A$2:$A$32</c:f>
            </c:strRef>
          </c:cat>
          <c:val>
            <c:numRef>
              <c:f>'Średnie i wykres Revo'!$F$2:$F$32</c:f>
              <c:numCache/>
            </c:numRef>
          </c:val>
        </c:ser>
        <c:axId val="1728391806"/>
        <c:axId val="2026039835"/>
      </c:barChart>
      <c:catAx>
        <c:axId val="1728391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6039835"/>
      </c:catAx>
      <c:valAx>
        <c:axId val="2026039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3918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'Średnie i wykres Revo'!$A$2:$A$32</c:f>
            </c:numRef>
          </c:xVal>
          <c:yVal>
            <c:numRef>
              <c:f>'Średnie i wykres Revo'!$B$2:$B$32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'Średnie i wykres Revo'!$A$2:$A$32</c:f>
            </c:numRef>
          </c:xVal>
          <c:yVal>
            <c:numRef>
              <c:f>'Średnie i wykres Revo'!$C$2:$C$32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'Średnie i wykres Revo'!$A$2:$A$32</c:f>
            </c:numRef>
          </c:xVal>
          <c:yVal>
            <c:numRef>
              <c:f>'Średnie i wykres Revo'!$D$2:$D$32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416924"/>
        <c:axId val="375306894"/>
      </c:scatterChart>
      <c:valAx>
        <c:axId val="17924169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306894"/>
        <c:majorUnit val="1.0"/>
      </c:valAx>
      <c:valAx>
        <c:axId val="375306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416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Dane_Antinazi!$A$2:$A$22</c:f>
            </c:numRef>
          </c:xVal>
          <c:yVal>
            <c:numRef>
              <c:f>Dane_Antinazi!$B$2:$B$22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6613"/>
        <c:axId val="298638068"/>
      </c:scatterChart>
      <c:valAx>
        <c:axId val="211166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8638068"/>
      </c:valAx>
      <c:valAx>
        <c:axId val="298638068"/>
        <c:scaling>
          <c:orientation val="minMax"/>
          <c:max val="6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6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'Średnie i wykres Antinazi'!$A$2:$A$31</c:f>
            </c:strRef>
          </c:cat>
          <c:val>
            <c:numRef>
              <c:f>'Średnie i wykres Antinazi'!$F$2:$F$31</c:f>
              <c:numCache/>
            </c:numRef>
          </c:val>
        </c:ser>
        <c:axId val="949475661"/>
        <c:axId val="1629940256"/>
      </c:barChart>
      <c:catAx>
        <c:axId val="9494756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940256"/>
      </c:catAx>
      <c:valAx>
        <c:axId val="1629940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94756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'Średnie i wykres Antinazi'!$A$2:$A$31</c:f>
            </c:numRef>
          </c:xVal>
          <c:yVal>
            <c:numRef>
              <c:f>'Średnie i wykres Antinazi'!$B$2:$B$31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'Średnie i wykres Antinazi'!$A$2:$A$31</c:f>
            </c:numRef>
          </c:xVal>
          <c:yVal>
            <c:numRef>
              <c:f>'Średnie i wykres Antinazi'!$C$2:$C$31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'Średnie i wykres Antinazi'!$A$2:$A$31</c:f>
            </c:numRef>
          </c:xVal>
          <c:yVal>
            <c:numRef>
              <c:f>'Średnie i wykres Antinazi'!$D$2:$D$31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058685"/>
        <c:axId val="719332338"/>
      </c:scatterChart>
      <c:valAx>
        <c:axId val="15560586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9332338"/>
        <c:majorUnit val="1.0"/>
      </c:valAx>
      <c:valAx>
        <c:axId val="719332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0586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Dane_Nazi!$A$2:$A$20</c:f>
            </c:numRef>
          </c:xVal>
          <c:yVal>
            <c:numRef>
              <c:f>Dane_Nazi!$B$2:$B$20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804603"/>
        <c:axId val="1018170385"/>
      </c:scatterChart>
      <c:valAx>
        <c:axId val="7028046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170385"/>
      </c:valAx>
      <c:valAx>
        <c:axId val="1018170385"/>
        <c:scaling>
          <c:orientation val="minMax"/>
          <c:max val="6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8046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'Średnie i wykres Nazi'!$A$2:$A$31</c:f>
            </c:strRef>
          </c:cat>
          <c:val>
            <c:numRef>
              <c:f>'Średnie i wykres Nazi'!$F$2:$F$31</c:f>
              <c:numCache/>
            </c:numRef>
          </c:val>
        </c:ser>
        <c:axId val="1734269953"/>
        <c:axId val="702878953"/>
      </c:barChart>
      <c:catAx>
        <c:axId val="1734269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878953"/>
      </c:catAx>
      <c:valAx>
        <c:axId val="702878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2699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'Średnie i wykres Nazi'!$A$2:$A$31</c:f>
            </c:numRef>
          </c:xVal>
          <c:yVal>
            <c:numRef>
              <c:f>'Średnie i wykres Nazi'!$B$2:$B$31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'Średnie i wykres Nazi'!$A$2:$A$31</c:f>
            </c:numRef>
          </c:xVal>
          <c:yVal>
            <c:numRef>
              <c:f>'Średnie i wykres Nazi'!$C$2:$C$31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'Średnie i wykres Nazi'!$A$2:$A$31</c:f>
            </c:numRef>
          </c:xVal>
          <c:yVal>
            <c:numRef>
              <c:f>'Średnie i wykres Nazi'!$D$2:$D$31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405098"/>
        <c:axId val="384985783"/>
      </c:scatterChart>
      <c:valAx>
        <c:axId val="1834050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4985783"/>
        <c:majorUnit val="1.0"/>
      </c:valAx>
      <c:valAx>
        <c:axId val="3849857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05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Dane_MyFest!$A$2:$A$25</c:f>
            </c:numRef>
          </c:xVal>
          <c:yVal>
            <c:numRef>
              <c:f>Dane_MyFest!$B$2:$B$25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028535"/>
        <c:axId val="769189641"/>
      </c:scatterChart>
      <c:valAx>
        <c:axId val="8400285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189641"/>
      </c:valAx>
      <c:valAx>
        <c:axId val="769189641"/>
        <c:scaling>
          <c:orientation val="minMax"/>
          <c:max val="6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0285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'Średnie i wykresy Myfest'!$A$2:$A$18</c:f>
            </c:strRef>
          </c:cat>
          <c:val>
            <c:numRef>
              <c:f>'Średnie i wykresy Myfest'!$F$2:$F$18</c:f>
              <c:numCache/>
            </c:numRef>
          </c:val>
        </c:ser>
        <c:axId val="721839034"/>
        <c:axId val="1437895192"/>
      </c:barChart>
      <c:catAx>
        <c:axId val="721839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895192"/>
      </c:catAx>
      <c:valAx>
        <c:axId val="1437895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839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'Średnie i wykresy Myfest'!$B$2:$B$18</c:f>
            </c:numRef>
          </c:xVal>
          <c:yVal>
            <c:numRef>
              <c:f>'Średnie i wykresy Myfest'!$C$2:$C$18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'Średnie i wykresy Myfest'!$B$2:$B$18</c:f>
            </c:numRef>
          </c:xVal>
          <c:yVal>
            <c:numRef>
              <c:f>'Średnie i wykresy Myfest'!$D$2:$D$18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'Średnie i wykresy Myfest'!$B$2:$B$18</c:f>
            </c:numRef>
          </c:xVal>
          <c:yVal>
            <c:numRef>
              <c:f>'Średnie i wykresy Myfest'!$E$2:$E$18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830482"/>
        <c:axId val="1259405360"/>
      </c:scatterChart>
      <c:valAx>
        <c:axId val="7398304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9405360"/>
        <c:majorUnit val="1.0"/>
      </c:valAx>
      <c:valAx>
        <c:axId val="1259405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830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Dane_Mariannenplatz!$A$2:$A$23</c:f>
            </c:numRef>
          </c:xVal>
          <c:yVal>
            <c:numRef>
              <c:f>Dane_Mariannenplatz!$B$2:$B$23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915779"/>
        <c:axId val="1585602273"/>
      </c:scatterChart>
      <c:valAx>
        <c:axId val="13749157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602273"/>
      </c:valAx>
      <c:valAx>
        <c:axId val="1585602273"/>
        <c:scaling>
          <c:orientation val="minMax"/>
          <c:max val="6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915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'Średnie i wykresy Mariannenplat'!$A$2:$A$7</c:f>
            </c:strRef>
          </c:cat>
          <c:val>
            <c:numRef>
              <c:f>'Średnie i wykresy Mariannenplat'!$F$2:$F$7</c:f>
              <c:numCache/>
            </c:numRef>
          </c:val>
        </c:ser>
        <c:axId val="1382021746"/>
        <c:axId val="1097127429"/>
      </c:barChart>
      <c:catAx>
        <c:axId val="1382021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7127429"/>
      </c:catAx>
      <c:valAx>
        <c:axId val="1097127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021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'Średnie i wykresy Mariannenplat'!$C$2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'Średnie i wykresy Mariannenplat'!$B$3:$B$7</c:f>
            </c:numRef>
          </c:xVal>
          <c:yVal>
            <c:numRef>
              <c:f>'Średnie i wykresy Mariannenplat'!$C$3:$C$7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74140"/>
        <c:axId val="2146778694"/>
      </c:scatterChart>
      <c:valAx>
        <c:axId val="302741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778694"/>
        <c:majorUnit val="1.0"/>
      </c:valAx>
      <c:valAx>
        <c:axId val="21467786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2741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Dane_Revo_joint!$A$2:$A$17</c:f>
            </c:numRef>
          </c:xVal>
          <c:yVal>
            <c:numRef>
              <c:f>Dane_Revo_joint!$B$2:$B$17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371651"/>
        <c:axId val="1325406361"/>
      </c:scatterChart>
      <c:valAx>
        <c:axId val="8113716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5406361"/>
      </c:valAx>
      <c:valAx>
        <c:axId val="1325406361"/>
        <c:scaling>
          <c:orientation val="minMax"/>
          <c:max val="6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3716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'Srednie i wykresy Revo_Joint'!$A$2:$A$10</c:f>
            </c:strRef>
          </c:cat>
          <c:val>
            <c:numRef>
              <c:f>'Srednie i wykresy Revo_Joint'!$F$2:$F$10</c:f>
              <c:numCache/>
            </c:numRef>
          </c:val>
        </c:ser>
        <c:axId val="1382423559"/>
        <c:axId val="678880289"/>
      </c:barChart>
      <c:catAx>
        <c:axId val="13824235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880289"/>
      </c:catAx>
      <c:valAx>
        <c:axId val="678880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4235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Dane_Ost_PDS!$A$2:$A$23</c:f>
            </c:numRef>
          </c:xVal>
          <c:yVal>
            <c:numRef>
              <c:f>Dane_Ost_PDS!$B$2:$B$23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6030303"/>
        <c:axId val="1127501641"/>
      </c:scatterChart>
      <c:valAx>
        <c:axId val="83603030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501641"/>
      </c:valAx>
      <c:valAx>
        <c:axId val="1127501641"/>
        <c:scaling>
          <c:orientation val="minMax"/>
          <c:max val="6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60303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'Srednie i wykresy Ost_PDS'!$A$2:$A$14</c:f>
            </c:strRef>
          </c:cat>
          <c:val>
            <c:numRef>
              <c:f>'Srednie i wykresy Ost_PDS'!$F$2:$F$14</c:f>
              <c:numCache/>
            </c:numRef>
          </c:val>
        </c:ser>
        <c:axId val="364656864"/>
        <c:axId val="2087419969"/>
      </c:barChart>
      <c:catAx>
        <c:axId val="36465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7419969"/>
      </c:catAx>
      <c:valAx>
        <c:axId val="2087419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6568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'Euro MayDay'!$A$2:$A$6</c:f>
            </c:numRef>
          </c:xVal>
          <c:yVal>
            <c:numRef>
              <c:f>'Euro MayDay'!$B$2:$B$6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074588"/>
        <c:axId val="888886980"/>
      </c:scatterChart>
      <c:valAx>
        <c:axId val="14790745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8886980"/>
      </c:valAx>
      <c:valAx>
        <c:axId val="888886980"/>
        <c:scaling>
          <c:orientation val="minMax"/>
          <c:max val="6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0745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'Średnie i wykres EuroMayDay'!$A$2:$A$5</c:f>
            </c:strRef>
          </c:cat>
          <c:val>
            <c:numRef>
              <c:f>'Średnie i wykres EuroMayDay'!$F$2:$F$5</c:f>
              <c:numCache/>
            </c:numRef>
          </c:val>
        </c:ser>
        <c:axId val="1494313488"/>
        <c:axId val="113522084"/>
      </c:barChart>
      <c:catAx>
        <c:axId val="149431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22084"/>
      </c:catAx>
      <c:valAx>
        <c:axId val="113522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313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Dane_Revo13!$A$2:$A$25</c:f>
            </c:numRef>
          </c:xVal>
          <c:yVal>
            <c:numRef>
              <c:f>Dane_Revo13!$B$2:$B$25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33396"/>
        <c:axId val="1959462525"/>
      </c:scatterChart>
      <c:valAx>
        <c:axId val="3833333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9462525"/>
      </c:valAx>
      <c:valAx>
        <c:axId val="1959462525"/>
        <c:scaling>
          <c:orientation val="minMax"/>
          <c:max val="6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3333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'Średnie i wykres Revo13'!$A$2:$A$25</c:f>
            </c:strRef>
          </c:cat>
          <c:val>
            <c:numRef>
              <c:f>'Średnie i wykres Revo13'!$F$2:$F$25</c:f>
              <c:numCache/>
            </c:numRef>
          </c:val>
        </c:ser>
        <c:axId val="2000347716"/>
        <c:axId val="813075793"/>
      </c:barChart>
      <c:catAx>
        <c:axId val="2000347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3075793"/>
      </c:catAx>
      <c:valAx>
        <c:axId val="813075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347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Liczba uczestników a Rok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Dane_MyGruni!$A$3:$A$8</c:f>
            </c:numRef>
          </c:xVal>
          <c:yVal>
            <c:numRef>
              <c:f>Dane_MyGruni!$B$3:$B$8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348791"/>
        <c:axId val="1222097618"/>
      </c:scatterChart>
      <c:valAx>
        <c:axId val="3133487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2097618"/>
      </c:valAx>
      <c:valAx>
        <c:axId val="1222097618"/>
        <c:scaling>
          <c:orientation val="minMax"/>
          <c:max val="6500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uczestników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348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średnia metoda alt a Rok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'Średnie i wykres MyGruni'!$A$2:$A$25</c:f>
            </c:strRef>
          </c:cat>
          <c:val>
            <c:numRef>
              <c:f>'Średnie i wykres MyGruni'!$F$2:$F$25</c:f>
              <c:numCache/>
            </c:numRef>
          </c:val>
        </c:ser>
        <c:axId val="513439082"/>
        <c:axId val="505926322"/>
      </c:barChart>
      <c:catAx>
        <c:axId val="513439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5926322"/>
      </c:catAx>
      <c:valAx>
        <c:axId val="505926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średnia metoda alt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3439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Bliskość wyborów do 1. Maja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'Berlin election calendar'!$F$1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'Berlin election calendar'!$B$2:$B$24</c:f>
            </c:numRef>
          </c:xVal>
          <c:yVal>
            <c:numRef>
              <c:f>'Berlin election calendar'!$F$2:$F$24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651416"/>
        <c:axId val="160018993"/>
      </c:scatterChart>
      <c:valAx>
        <c:axId val="1198651416"/>
        <c:scaling>
          <c:orientation val="minMax"/>
          <c:max val="2020.0"/>
          <c:min val="1989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Dzień roku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018993"/>
        <c:majorUnit val="1.0"/>
      </c:valAx>
      <c:valAx>
        <c:axId val="160018993"/>
        <c:scaling>
          <c:orientation val="minMax"/>
          <c:max val="365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86514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 w="95250">
              <a:noFill/>
              <a:prstDash val="solid"/>
            </a:ln>
          </c:spPr>
          <c:invertIfNegative val="0"/>
          <c:cat>
            <c:strRef>
              <c:f>'1950-2019 Berlin data'!$A$2:$A$71</c:f>
            </c:strRef>
          </c:cat>
          <c:val>
            <c:numRef>
              <c:f>'1950-2019 Berlin data'!$D$1:$D$71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 w="95250">
              <a:noFill/>
              <a:prstDash val="solid"/>
            </a:ln>
          </c:spPr>
          <c:invertIfNegative val="0"/>
          <c:cat>
            <c:strRef>
              <c:f>'1950-2019 Berlin data'!$A$2:$A$71</c:f>
            </c:strRef>
          </c:cat>
          <c:val>
            <c:numRef>
              <c:f>'1950-2019 Berlin data'!$E$1:$E$71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 w="95250">
              <a:noFill/>
              <a:prstDash val="solid"/>
            </a:ln>
          </c:spPr>
          <c:invertIfNegative val="0"/>
          <c:cat>
            <c:strRef>
              <c:f>'1950-2019 Berlin data'!$A$2:$A$71</c:f>
            </c:strRef>
          </c:cat>
          <c:val>
            <c:numRef>
              <c:f>'1950-2019 Berlin data'!$F$1:$F$71</c:f>
              <c:numCache/>
            </c:numRef>
          </c:val>
        </c:ser>
        <c:axId val="994269009"/>
        <c:axId val="1756850738"/>
      </c:barChart>
      <c:catAx>
        <c:axId val="994269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756850738"/>
      </c:catAx>
      <c:valAx>
        <c:axId val="1756850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9942690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'DGB Main events_attendance_comp'!$A$42:$A$71</c:f>
            </c:strRef>
          </c:cat>
          <c:val>
            <c:numRef>
              <c:f>'DGB Main events_attendance_comp'!$F$42:$F$71</c:f>
              <c:numCache/>
            </c:numRef>
          </c:val>
          <c:smooth val="1"/>
        </c:ser>
        <c:axId val="2129094576"/>
        <c:axId val="882818654"/>
      </c:lineChart>
      <c:catAx>
        <c:axId val="2129094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2818654"/>
      </c:catAx>
      <c:valAx>
        <c:axId val="882818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094576"/>
      </c:valAx>
      <c:lineChart>
        <c:varyColors val="0"/>
        <c:ser>
          <c:idx val="1"/>
          <c:order val="1"/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'DGB Main events_attendance_comp'!$A$42:$A$71</c:f>
            </c:strRef>
          </c:cat>
          <c:val>
            <c:numRef>
              <c:f>'DGB Main events_attendance_comp'!$G$42:$G$71</c:f>
              <c:numCache/>
            </c:numRef>
          </c:val>
          <c:smooth val="1"/>
        </c:ser>
        <c:axId val="81651823"/>
        <c:axId val="513343999"/>
      </c:lineChart>
      <c:catAx>
        <c:axId val="816518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3343999"/>
      </c:catAx>
      <c:valAx>
        <c:axId val="51334399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518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val>
            <c:numRef>
              <c:f>'DGB Main events_attendance_comp'!$H$42:$H$71</c:f>
              <c:numCache/>
            </c:numRef>
          </c:val>
          <c:smooth val="1"/>
        </c:ser>
        <c:axId val="736877752"/>
        <c:axId val="1087287721"/>
      </c:lineChart>
      <c:catAx>
        <c:axId val="736877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287721"/>
      </c:catAx>
      <c:valAx>
        <c:axId val="1087287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8777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'Weather and Calendar'!$E$2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'Weather and Calendar'!$A$3:$A$32</c:f>
            </c:strRef>
          </c:cat>
          <c:val>
            <c:numRef>
              <c:f>'Weather and Calendar'!$E$3:$E$32</c:f>
              <c:numCache/>
            </c:numRef>
          </c:val>
        </c:ser>
        <c:ser>
          <c:idx val="1"/>
          <c:order val="1"/>
          <c:tx>
            <c:strRef>
              <c:f>'Weather and Calendar'!$G$2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dPt>
            <c:idx val="0"/>
          </c:dPt>
          <c:cat>
            <c:strRef>
              <c:f>'Weather and Calendar'!$A$3:$A$32</c:f>
            </c:strRef>
          </c:cat>
          <c:val>
            <c:numRef>
              <c:f>'Weather and Calendar'!$G$3:$G$32</c:f>
              <c:numCache/>
            </c:numRef>
          </c:val>
        </c:ser>
        <c:overlap val="100"/>
        <c:axId val="338416866"/>
        <c:axId val="1555146277"/>
      </c:barChart>
      <c:catAx>
        <c:axId val="3384168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5146277"/>
      </c:catAx>
      <c:valAx>
        <c:axId val="15551462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4168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Share of trade union attendance i MA-3 share of trade union attendance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'Weather and Calendar'!$H$1:$H$2</c:f>
            </c:strRef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'Weather and Calendar'!$A$3:$A$32</c:f>
            </c:strRef>
          </c:cat>
          <c:val>
            <c:numRef>
              <c:f>'Weather and Calendar'!$H$3:$H$32</c:f>
              <c:numCache/>
            </c:numRef>
          </c:val>
          <c:smooth val="0"/>
        </c:ser>
        <c:ser>
          <c:idx val="1"/>
          <c:order val="1"/>
          <c:tx>
            <c:strRef>
              <c:f>'Weather and Calendar'!$I$1:$I$2</c:f>
            </c:strRef>
          </c:tx>
          <c:spPr>
            <a:ln cmpd="sng">
              <a:solidFill>
                <a:srgbClr val="980000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'Weather and Calendar'!$A$3:$A$32</c:f>
            </c:strRef>
          </c:cat>
          <c:val>
            <c:numRef>
              <c:f>'Weather and Calendar'!$I$3:$I$32</c:f>
              <c:numCache/>
            </c:numRef>
          </c:val>
          <c:smooth val="0"/>
        </c:ser>
        <c:axId val="230389596"/>
        <c:axId val="236474845"/>
      </c:lineChart>
      <c:catAx>
        <c:axId val="230389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474845"/>
      </c:catAx>
      <c:valAx>
        <c:axId val="236474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3895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56</xdr:row>
      <xdr:rowOff>161925</xdr:rowOff>
    </xdr:from>
    <xdr:ext cx="10125075" cy="4219575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4" name="Chart 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266700</xdr:colOff>
      <xdr:row>18</xdr:row>
      <xdr:rowOff>38100</xdr:rowOff>
    </xdr:from>
    <xdr:ext cx="10706100" cy="2476500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19</xdr:row>
      <xdr:rowOff>161925</xdr:rowOff>
    </xdr:from>
    <xdr:ext cx="10125075" cy="42195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6" name="Chart 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266700</xdr:colOff>
      <xdr:row>15</xdr:row>
      <xdr:rowOff>180975</xdr:rowOff>
    </xdr:from>
    <xdr:ext cx="5715000" cy="3533775"/>
    <xdr:graphicFrame>
      <xdr:nvGraphicFramePr>
        <xdr:cNvPr id="7" name="Chart 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22</xdr:row>
      <xdr:rowOff>161925</xdr:rowOff>
    </xdr:from>
    <xdr:ext cx="10125075" cy="4219575"/>
    <xdr:graphicFrame>
      <xdr:nvGraphicFramePr>
        <xdr:cNvPr id="5" name="Chart 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8" name="Chart 8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57150</xdr:colOff>
      <xdr:row>20</xdr:row>
      <xdr:rowOff>123825</xdr:rowOff>
    </xdr:from>
    <xdr:ext cx="5715000" cy="3533775"/>
    <xdr:graphicFrame>
      <xdr:nvGraphicFramePr>
        <xdr:cNvPr id="9" name="Chart 9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20</xdr:row>
      <xdr:rowOff>161925</xdr:rowOff>
    </xdr:from>
    <xdr:ext cx="10125075" cy="4219575"/>
    <xdr:graphicFrame>
      <xdr:nvGraphicFramePr>
        <xdr:cNvPr id="10" name="Chart 10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11" name="Chart 1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57150</xdr:colOff>
      <xdr:row>20</xdr:row>
      <xdr:rowOff>123825</xdr:rowOff>
    </xdr:from>
    <xdr:ext cx="5715000" cy="3533775"/>
    <xdr:graphicFrame>
      <xdr:nvGraphicFramePr>
        <xdr:cNvPr id="13" name="Chart 1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</xdr:row>
      <xdr:rowOff>161925</xdr:rowOff>
    </xdr:from>
    <xdr:ext cx="10125075" cy="4219575"/>
    <xdr:graphicFrame>
      <xdr:nvGraphicFramePr>
        <xdr:cNvPr id="12" name="Chart 1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14" name="Chart 1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57150</xdr:colOff>
      <xdr:row>21</xdr:row>
      <xdr:rowOff>57150</xdr:rowOff>
    </xdr:from>
    <xdr:ext cx="5715000" cy="3533775"/>
    <xdr:graphicFrame>
      <xdr:nvGraphicFramePr>
        <xdr:cNvPr id="16" name="Chart 1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</xdr:row>
      <xdr:rowOff>161925</xdr:rowOff>
    </xdr:from>
    <xdr:ext cx="10125075" cy="4219575"/>
    <xdr:graphicFrame>
      <xdr:nvGraphicFramePr>
        <xdr:cNvPr id="15" name="Chart 1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17" name="Chart 1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57150</xdr:colOff>
      <xdr:row>22</xdr:row>
      <xdr:rowOff>0</xdr:rowOff>
    </xdr:from>
    <xdr:ext cx="5715000" cy="3533775"/>
    <xdr:graphicFrame>
      <xdr:nvGraphicFramePr>
        <xdr:cNvPr id="19" name="Chart 19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14</xdr:row>
      <xdr:rowOff>161925</xdr:rowOff>
    </xdr:from>
    <xdr:ext cx="10125075" cy="4219575"/>
    <xdr:graphicFrame>
      <xdr:nvGraphicFramePr>
        <xdr:cNvPr id="18" name="Chart 18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20" name="Chart 20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22</xdr:row>
      <xdr:rowOff>161925</xdr:rowOff>
    </xdr:from>
    <xdr:ext cx="10125075" cy="4219575"/>
    <xdr:graphicFrame>
      <xdr:nvGraphicFramePr>
        <xdr:cNvPr id="21" name="Chart 2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22" name="Chart 2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</xdr:row>
      <xdr:rowOff>161925</xdr:rowOff>
    </xdr:from>
    <xdr:ext cx="10125075" cy="4219575"/>
    <xdr:graphicFrame>
      <xdr:nvGraphicFramePr>
        <xdr:cNvPr id="23" name="Chart 2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24" name="Chart 2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1</xdr:row>
      <xdr:rowOff>161925</xdr:rowOff>
    </xdr:from>
    <xdr:ext cx="10125075" cy="4219575"/>
    <xdr:graphicFrame>
      <xdr:nvGraphicFramePr>
        <xdr:cNvPr id="25" name="Chart 2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26" name="Chart 2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</xdr:colOff>
      <xdr:row>2</xdr:row>
      <xdr:rowOff>161925</xdr:rowOff>
    </xdr:from>
    <xdr:ext cx="10125075" cy="4219575"/>
    <xdr:graphicFrame>
      <xdr:nvGraphicFramePr>
        <xdr:cNvPr id="27" name="Chart 2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0</xdr:row>
      <xdr:rowOff>0</xdr:rowOff>
    </xdr:from>
    <xdr:ext cx="5715000" cy="3533775"/>
    <xdr:graphicFrame>
      <xdr:nvGraphicFramePr>
        <xdr:cNvPr id="29" name="Chart 29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495300</xdr:colOff>
      <xdr:row>13</xdr:row>
      <xdr:rowOff>28575</xdr:rowOff>
    </xdr:from>
    <xdr:ext cx="15763875" cy="5324475"/>
    <xdr:graphicFrame>
      <xdr:nvGraphicFramePr>
        <xdr:cNvPr id="28" name="Chart 28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104775</xdr:colOff>
      <xdr:row>44</xdr:row>
      <xdr:rowOff>38100</xdr:rowOff>
    </xdr:from>
    <xdr:ext cx="9667875" cy="2686050"/>
    <xdr:graphicFrame>
      <xdr:nvGraphicFramePr>
        <xdr:cNvPr id="30" name="Chart 30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542925</xdr:colOff>
      <xdr:row>1</xdr:row>
      <xdr:rowOff>57150</xdr:rowOff>
    </xdr:from>
    <xdr:ext cx="5715000" cy="3533775"/>
    <xdr:graphicFrame>
      <xdr:nvGraphicFramePr>
        <xdr:cNvPr id="31" name="Chart 3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609600</xdr:colOff>
      <xdr:row>21</xdr:row>
      <xdr:rowOff>133350</xdr:rowOff>
    </xdr:from>
    <xdr:ext cx="5715000" cy="3533775"/>
    <xdr:graphicFrame>
      <xdr:nvGraphicFramePr>
        <xdr:cNvPr id="32" name="Chart 3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266700</xdr:colOff>
      <xdr:row>9</xdr:row>
      <xdr:rowOff>133350</xdr:rowOff>
    </xdr:from>
    <xdr:ext cx="10334625" cy="3429000"/>
    <xdr:graphicFrame>
      <xdr:nvGraphicFramePr>
        <xdr:cNvPr id="33" name="Chart 3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552450</xdr:colOff>
      <xdr:row>29</xdr:row>
      <xdr:rowOff>28575</xdr:rowOff>
    </xdr:from>
    <xdr:ext cx="8448675" cy="3533775"/>
    <xdr:graphicFrame>
      <xdr:nvGraphicFramePr>
        <xdr:cNvPr id="34" name="Chart 3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C24" displayName="Table_1" name="Table_1" id="1">
  <tableColumns count="3">
    <tableColumn name="Column1" id="1"/>
    <tableColumn name="Column2" id="2"/>
    <tableColumn name="Column3" id="3"/>
  </tableColumns>
  <tableStyleInfo name="Berlin election calend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apabiz.de/" TargetMode="External"/><Relationship Id="rId2" Type="http://schemas.openxmlformats.org/officeDocument/2006/relationships/hyperlink" Target="http://blog.zeit.de/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1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161104011443/http://www.dgb.de/1-mai-2016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eb.archive.org/web/20161104011443/http://www.dgb.de/1-mai-2016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</row>
    <row r="2">
      <c r="A2" s="6">
        <v>1990.0</v>
      </c>
      <c r="B2" s="6">
        <v>60000.0</v>
      </c>
      <c r="C2" s="6" t="s">
        <v>12</v>
      </c>
      <c r="D2" s="6" t="s">
        <v>11</v>
      </c>
    </row>
    <row r="3">
      <c r="A3" s="6">
        <v>1990.0</v>
      </c>
      <c r="B3" s="6">
        <v>60000.0</v>
      </c>
      <c r="C3" s="6" t="s">
        <v>15</v>
      </c>
      <c r="D3" s="6" t="s">
        <v>11</v>
      </c>
    </row>
    <row r="4">
      <c r="A4" s="6">
        <v>1990.0</v>
      </c>
      <c r="B4" s="6">
        <v>50000.0</v>
      </c>
      <c r="C4" s="6" t="s">
        <v>19</v>
      </c>
      <c r="D4" s="6" t="s">
        <v>11</v>
      </c>
    </row>
    <row r="5">
      <c r="A5" s="12">
        <v>1990.0</v>
      </c>
      <c r="B5" s="10" t="s">
        <v>23</v>
      </c>
      <c r="C5" s="10" t="s">
        <v>23</v>
      </c>
      <c r="D5" s="12" t="s">
        <v>21</v>
      </c>
    </row>
    <row r="6">
      <c r="A6" s="12">
        <v>1990.0</v>
      </c>
      <c r="B6" s="10" t="s">
        <v>23</v>
      </c>
      <c r="C6" s="10" t="s">
        <v>23</v>
      </c>
      <c r="D6" s="12" t="s">
        <v>21</v>
      </c>
    </row>
    <row r="7">
      <c r="A7" s="13">
        <v>1991.0</v>
      </c>
      <c r="B7" s="13">
        <v>10000.0</v>
      </c>
      <c r="C7" s="13" t="s">
        <v>25</v>
      </c>
      <c r="D7" s="13" t="s">
        <v>11</v>
      </c>
    </row>
    <row r="8">
      <c r="A8" s="10">
        <v>1991.0</v>
      </c>
      <c r="B8" s="10">
        <v>5000.0</v>
      </c>
      <c r="C8" s="10" t="s">
        <v>26</v>
      </c>
      <c r="D8" s="10" t="s">
        <v>11</v>
      </c>
    </row>
    <row r="9">
      <c r="A9" s="12">
        <v>1991.0</v>
      </c>
      <c r="B9" s="12">
        <v>15000.0</v>
      </c>
      <c r="C9" s="12" t="s">
        <v>27</v>
      </c>
      <c r="D9" s="12" t="s">
        <v>21</v>
      </c>
    </row>
    <row r="10">
      <c r="A10" s="8">
        <v>1992.0</v>
      </c>
      <c r="B10" s="8">
        <v>8000.0</v>
      </c>
      <c r="C10" s="8" t="s">
        <v>28</v>
      </c>
      <c r="D10" s="8" t="s">
        <v>20</v>
      </c>
    </row>
    <row r="11">
      <c r="A11" s="6">
        <v>1992.0</v>
      </c>
      <c r="B11" s="6">
        <v>15000.0</v>
      </c>
      <c r="C11" s="8" t="s">
        <v>30</v>
      </c>
      <c r="D11" s="6" t="s">
        <v>11</v>
      </c>
    </row>
    <row r="12">
      <c r="A12" s="6">
        <v>1992.0</v>
      </c>
      <c r="B12" s="6">
        <v>40000.0</v>
      </c>
      <c r="C12" s="6" t="s">
        <v>33</v>
      </c>
      <c r="D12" s="6" t="s">
        <v>11</v>
      </c>
    </row>
    <row r="13">
      <c r="A13" s="12">
        <v>1992.0</v>
      </c>
      <c r="B13" s="12">
        <v>25000.0</v>
      </c>
      <c r="C13" s="12" t="s">
        <v>35</v>
      </c>
      <c r="D13" s="12" t="s">
        <v>21</v>
      </c>
    </row>
    <row r="14">
      <c r="A14" s="8">
        <v>1992.0</v>
      </c>
      <c r="B14" s="8">
        <v>10000.0</v>
      </c>
      <c r="C14" s="8" t="s">
        <v>25</v>
      </c>
      <c r="D14" s="8" t="s">
        <v>11</v>
      </c>
    </row>
    <row r="15">
      <c r="A15" s="6">
        <v>1992.0</v>
      </c>
      <c r="B15" s="6">
        <v>40000.0</v>
      </c>
      <c r="C15" s="6" t="s">
        <v>37</v>
      </c>
      <c r="D15" s="6" t="s">
        <v>11</v>
      </c>
    </row>
    <row r="16">
      <c r="A16" s="8">
        <v>1993.0</v>
      </c>
      <c r="B16" s="8">
        <v>15000.0</v>
      </c>
      <c r="C16" s="8" t="s">
        <v>38</v>
      </c>
      <c r="D16" s="8" t="s">
        <v>11</v>
      </c>
    </row>
    <row r="17">
      <c r="A17" s="6">
        <v>1993.0</v>
      </c>
      <c r="B17" s="8">
        <v>30000.0</v>
      </c>
      <c r="C17" s="8" t="s">
        <v>39</v>
      </c>
      <c r="D17" s="8" t="s">
        <v>21</v>
      </c>
    </row>
    <row r="18">
      <c r="A18" s="8">
        <v>1993.0</v>
      </c>
      <c r="B18" s="8">
        <v>5000.0</v>
      </c>
      <c r="C18" s="8" t="s">
        <v>25</v>
      </c>
      <c r="D18" s="8" t="s">
        <v>11</v>
      </c>
    </row>
    <row r="19">
      <c r="A19" s="6">
        <v>1994.0</v>
      </c>
      <c r="B19" s="6">
        <v>5000.0</v>
      </c>
      <c r="C19" s="6" t="s">
        <v>19</v>
      </c>
      <c r="D19" s="6" t="s">
        <v>11</v>
      </c>
    </row>
    <row r="20">
      <c r="A20" s="8">
        <v>1994.0</v>
      </c>
      <c r="B20" s="8">
        <v>5000.0</v>
      </c>
      <c r="C20" s="8" t="s">
        <v>25</v>
      </c>
      <c r="D20" s="8" t="s">
        <v>11</v>
      </c>
    </row>
    <row r="21">
      <c r="A21" s="12">
        <v>1994.0</v>
      </c>
      <c r="B21" s="12">
        <v>8000.0</v>
      </c>
      <c r="C21" s="12" t="s">
        <v>43</v>
      </c>
      <c r="D21" s="12" t="s">
        <v>21</v>
      </c>
    </row>
    <row r="22">
      <c r="A22" s="6">
        <v>1995.0</v>
      </c>
      <c r="B22" s="6">
        <v>5000.0</v>
      </c>
      <c r="C22" s="6" t="s">
        <v>45</v>
      </c>
      <c r="D22" s="6" t="s">
        <v>11</v>
      </c>
    </row>
    <row r="23">
      <c r="A23" s="8">
        <v>1995.0</v>
      </c>
      <c r="B23" s="8">
        <v>6000.0</v>
      </c>
      <c r="C23" s="8" t="s">
        <v>28</v>
      </c>
      <c r="D23" s="8" t="s">
        <v>11</v>
      </c>
    </row>
    <row r="24">
      <c r="A24" s="12">
        <v>1995.0</v>
      </c>
      <c r="B24" s="12">
        <v>10000.0</v>
      </c>
      <c r="C24" s="12" t="s">
        <v>43</v>
      </c>
      <c r="D24" s="12" t="s">
        <v>21</v>
      </c>
    </row>
    <row r="25" ht="15.75" customHeight="1">
      <c r="A25" s="6">
        <v>1995.0</v>
      </c>
      <c r="B25" s="8">
        <v>6000.0</v>
      </c>
      <c r="C25" s="6" t="s">
        <v>49</v>
      </c>
      <c r="D25" s="6" t="s">
        <v>11</v>
      </c>
    </row>
    <row r="26" ht="15.75" customHeight="1">
      <c r="A26" s="6">
        <v>1995.0</v>
      </c>
      <c r="B26" s="6">
        <v>10000.0</v>
      </c>
      <c r="C26" s="6" t="s">
        <v>51</v>
      </c>
      <c r="D26" s="6" t="s">
        <v>11</v>
      </c>
    </row>
    <row r="27" ht="15.75" customHeight="1">
      <c r="A27" s="6">
        <v>1996.0</v>
      </c>
      <c r="B27" s="6">
        <v>20000.0</v>
      </c>
      <c r="C27" s="6" t="s">
        <v>45</v>
      </c>
      <c r="D27" s="6" t="s">
        <v>11</v>
      </c>
    </row>
    <row r="28" ht="15.75" customHeight="1">
      <c r="A28" s="6">
        <v>1996.0</v>
      </c>
      <c r="B28" s="6">
        <v>20000.0</v>
      </c>
      <c r="C28" s="6" t="s">
        <v>53</v>
      </c>
      <c r="D28" s="6" t="s">
        <v>11</v>
      </c>
    </row>
    <row r="29" ht="15.75" customHeight="1">
      <c r="A29" s="6">
        <v>1996.0</v>
      </c>
      <c r="B29" s="6">
        <v>10000.0</v>
      </c>
      <c r="C29" s="6" t="s">
        <v>12</v>
      </c>
      <c r="D29" s="6" t="s">
        <v>11</v>
      </c>
    </row>
    <row r="30" ht="15.75" customHeight="1">
      <c r="A30" s="8">
        <v>1997.0</v>
      </c>
      <c r="B30" s="8">
        <v>7500.0</v>
      </c>
      <c r="C30" s="8" t="s">
        <v>25</v>
      </c>
      <c r="D30" s="8" t="s">
        <v>11</v>
      </c>
    </row>
    <row r="31" ht="15.75" customHeight="1">
      <c r="A31" s="6">
        <v>1997.0</v>
      </c>
      <c r="B31" s="6">
        <v>5000.0</v>
      </c>
      <c r="C31" s="6" t="s">
        <v>19</v>
      </c>
      <c r="D31" s="6" t="s">
        <v>11</v>
      </c>
    </row>
    <row r="32" ht="15.75" customHeight="1">
      <c r="A32" s="10">
        <v>1997.0</v>
      </c>
      <c r="B32" s="10">
        <v>5000.0</v>
      </c>
      <c r="C32" s="10" t="s">
        <v>28</v>
      </c>
      <c r="D32" s="10" t="s">
        <v>11</v>
      </c>
    </row>
    <row r="33" ht="15.75" customHeight="1">
      <c r="A33" s="12">
        <v>1997.0</v>
      </c>
      <c r="B33" s="12">
        <v>25000.0</v>
      </c>
      <c r="C33" s="12" t="s">
        <v>55</v>
      </c>
      <c r="D33" s="12" t="s">
        <v>21</v>
      </c>
    </row>
    <row r="34" ht="15.75" customHeight="1">
      <c r="A34" s="10">
        <v>1997.0</v>
      </c>
      <c r="B34" s="10">
        <v>5000.0</v>
      </c>
      <c r="C34" s="10" t="s">
        <v>56</v>
      </c>
      <c r="D34" s="10" t="s">
        <v>20</v>
      </c>
    </row>
    <row r="35" ht="15.0" customHeight="1">
      <c r="A35" s="8">
        <v>1998.0</v>
      </c>
      <c r="B35" s="8">
        <v>8000.0</v>
      </c>
      <c r="C35" s="8" t="s">
        <v>28</v>
      </c>
      <c r="D35" s="8" t="s">
        <v>11</v>
      </c>
    </row>
    <row r="36" ht="15.0" customHeight="1">
      <c r="A36" s="8">
        <v>1998.0</v>
      </c>
      <c r="B36" s="8">
        <v>20000.0</v>
      </c>
      <c r="C36" s="8" t="s">
        <v>58</v>
      </c>
      <c r="D36" s="8" t="s">
        <v>11</v>
      </c>
    </row>
    <row r="37" ht="15.0" customHeight="1">
      <c r="A37" s="6">
        <v>1998.0</v>
      </c>
      <c r="B37" s="6">
        <v>10000.0</v>
      </c>
      <c r="C37" s="6" t="s">
        <v>45</v>
      </c>
      <c r="D37" s="6" t="s">
        <v>11</v>
      </c>
    </row>
    <row r="38" ht="15.75" customHeight="1">
      <c r="A38" s="12">
        <v>1998.0</v>
      </c>
      <c r="B38" s="12">
        <v>17500.0</v>
      </c>
      <c r="C38" s="12" t="s">
        <v>61</v>
      </c>
      <c r="D38" s="12" t="s">
        <v>21</v>
      </c>
    </row>
    <row r="39" ht="15.75" customHeight="1">
      <c r="A39" s="8">
        <v>1999.0</v>
      </c>
      <c r="B39" s="8">
        <v>10000.0</v>
      </c>
      <c r="C39" s="8" t="s">
        <v>28</v>
      </c>
      <c r="D39" s="8" t="s">
        <v>11</v>
      </c>
    </row>
    <row r="40" ht="15.75" customHeight="1">
      <c r="A40" s="8">
        <v>1999.0</v>
      </c>
      <c r="B40" s="8">
        <v>10000.0</v>
      </c>
      <c r="C40" s="8" t="s">
        <v>22</v>
      </c>
      <c r="D40" s="8" t="s">
        <v>11</v>
      </c>
    </row>
    <row r="41" ht="15.75" customHeight="1">
      <c r="A41" s="6">
        <v>1999.0</v>
      </c>
      <c r="B41" s="6">
        <v>10000.0</v>
      </c>
      <c r="C41" s="6" t="s">
        <v>64</v>
      </c>
      <c r="D41" s="6" t="s">
        <v>11</v>
      </c>
    </row>
    <row r="42" ht="15.75" customHeight="1">
      <c r="A42" s="8">
        <v>1999.0</v>
      </c>
      <c r="B42" s="8">
        <v>7000.0</v>
      </c>
      <c r="C42" s="8" t="s">
        <v>66</v>
      </c>
      <c r="D42" s="8" t="s">
        <v>20</v>
      </c>
    </row>
    <row r="43" ht="15.75" customHeight="1">
      <c r="A43" s="12">
        <v>1999.0</v>
      </c>
      <c r="B43" s="12">
        <v>15000.0</v>
      </c>
      <c r="C43" s="12" t="s">
        <v>68</v>
      </c>
      <c r="D43" s="12" t="s">
        <v>21</v>
      </c>
    </row>
    <row r="44" ht="15.75" customHeight="1">
      <c r="A44" s="10">
        <v>2000.0</v>
      </c>
      <c r="B44" s="10">
        <v>18000.0</v>
      </c>
      <c r="C44" s="10" t="s">
        <v>70</v>
      </c>
      <c r="D44" s="10" t="s">
        <v>21</v>
      </c>
    </row>
    <row r="45" ht="15.75" customHeight="1">
      <c r="A45" s="10">
        <v>2000.0</v>
      </c>
      <c r="B45" s="10">
        <v>10000.0</v>
      </c>
      <c r="C45" s="10" t="s">
        <v>31</v>
      </c>
      <c r="D45" s="10" t="s">
        <v>11</v>
      </c>
    </row>
    <row r="46" ht="15.75" customHeight="1">
      <c r="A46" s="10">
        <v>2000.0</v>
      </c>
      <c r="B46" s="10">
        <v>7000.0</v>
      </c>
      <c r="C46" s="10" t="s">
        <v>74</v>
      </c>
      <c r="D46" s="10" t="s">
        <v>20</v>
      </c>
    </row>
    <row r="47" ht="15.75" customHeight="1">
      <c r="A47" s="12">
        <v>2000.0</v>
      </c>
      <c r="B47" s="12">
        <v>12000.0</v>
      </c>
      <c r="C47" s="12" t="s">
        <v>75</v>
      </c>
      <c r="D47" s="12" t="s">
        <v>21</v>
      </c>
    </row>
    <row r="48" ht="15.75" customHeight="1">
      <c r="A48" s="8">
        <v>2000.0</v>
      </c>
      <c r="B48" s="8">
        <v>10000.0</v>
      </c>
      <c r="C48" s="8" t="s">
        <v>41</v>
      </c>
      <c r="D48" s="8" t="s">
        <v>11</v>
      </c>
    </row>
    <row r="49" ht="15.75" customHeight="1">
      <c r="A49" s="8">
        <v>2000.0</v>
      </c>
      <c r="B49" s="8">
        <v>10000.0</v>
      </c>
      <c r="C49" s="8" t="s">
        <v>28</v>
      </c>
      <c r="D49" s="8" t="s">
        <v>11</v>
      </c>
    </row>
    <row r="50" ht="15.75" customHeight="1">
      <c r="A50" s="8">
        <v>2001.0</v>
      </c>
      <c r="B50" s="8">
        <v>10000.0</v>
      </c>
      <c r="C50" s="8" t="s">
        <v>22</v>
      </c>
      <c r="D50" s="8" t="s">
        <v>11</v>
      </c>
    </row>
    <row r="51" ht="15.75" customHeight="1">
      <c r="A51" s="8">
        <v>2001.0</v>
      </c>
      <c r="B51" s="8">
        <v>18000.0</v>
      </c>
      <c r="C51" s="8" t="s">
        <v>28</v>
      </c>
      <c r="D51" s="8" t="s">
        <v>11</v>
      </c>
    </row>
    <row r="52" ht="15.75" customHeight="1">
      <c r="A52" s="8">
        <v>2001.0</v>
      </c>
      <c r="B52" s="8">
        <v>18000.0</v>
      </c>
      <c r="C52" s="8" t="s">
        <v>15</v>
      </c>
      <c r="D52" s="8" t="s">
        <v>11</v>
      </c>
    </row>
    <row r="53" ht="15.75" customHeight="1">
      <c r="A53" s="8">
        <v>2001.0</v>
      </c>
      <c r="B53" s="8">
        <v>20000.0</v>
      </c>
      <c r="C53" s="8" t="s">
        <v>25</v>
      </c>
      <c r="D53" s="8" t="s">
        <v>11</v>
      </c>
    </row>
    <row r="54" ht="15.75" customHeight="1">
      <c r="A54" s="8">
        <v>2001.0</v>
      </c>
      <c r="B54" s="8">
        <v>25000.0</v>
      </c>
      <c r="C54" s="8" t="s">
        <v>81</v>
      </c>
      <c r="D54" s="8" t="s">
        <v>11</v>
      </c>
    </row>
    <row r="55" ht="15.75" customHeight="1">
      <c r="A55" s="6">
        <v>2001.0</v>
      </c>
      <c r="B55" s="6">
        <v>10000.0</v>
      </c>
      <c r="C55" s="6" t="s">
        <v>45</v>
      </c>
      <c r="D55" s="6" t="s">
        <v>11</v>
      </c>
    </row>
    <row r="56" ht="15.75" customHeight="1">
      <c r="A56" s="13">
        <v>2002.0</v>
      </c>
      <c r="B56" s="13">
        <v>10000.0</v>
      </c>
      <c r="C56" s="13" t="s">
        <v>25</v>
      </c>
      <c r="D56" s="13" t="s">
        <v>11</v>
      </c>
    </row>
    <row r="57" ht="15.75" customHeight="1">
      <c r="A57" s="13">
        <v>2002.0</v>
      </c>
      <c r="B57" s="13">
        <v>25000.0</v>
      </c>
      <c r="C57" s="13" t="s">
        <v>84</v>
      </c>
      <c r="D57" s="13" t="s">
        <v>21</v>
      </c>
    </row>
    <row r="58" ht="15.75" customHeight="1">
      <c r="A58" s="13">
        <v>2002.0</v>
      </c>
      <c r="B58" s="13">
        <v>12000.0</v>
      </c>
      <c r="C58" s="13" t="s">
        <v>86</v>
      </c>
      <c r="D58" s="13" t="s">
        <v>11</v>
      </c>
    </row>
    <row r="59" ht="15.75" customHeight="1">
      <c r="A59" s="16">
        <v>2002.0</v>
      </c>
      <c r="B59" s="16">
        <v>7000.0</v>
      </c>
      <c r="C59" s="16" t="s">
        <v>88</v>
      </c>
      <c r="D59" s="16" t="s">
        <v>20</v>
      </c>
    </row>
    <row r="60" ht="15.75" customHeight="1">
      <c r="A60" s="6">
        <v>2003.0</v>
      </c>
      <c r="B60" s="6">
        <v>20000.0</v>
      </c>
      <c r="C60" s="8" t="s">
        <v>90</v>
      </c>
      <c r="D60" s="8" t="s">
        <v>21</v>
      </c>
    </row>
    <row r="61" ht="15.75" customHeight="1">
      <c r="A61" s="16">
        <v>2003.0</v>
      </c>
      <c r="B61" s="16">
        <v>7000.0</v>
      </c>
      <c r="C61" s="16" t="s">
        <v>88</v>
      </c>
      <c r="D61" s="16" t="s">
        <v>20</v>
      </c>
    </row>
    <row r="62" ht="15.75" customHeight="1">
      <c r="A62" s="6">
        <v>2004.0</v>
      </c>
      <c r="B62" s="6">
        <v>25000.0</v>
      </c>
      <c r="C62" s="8" t="s">
        <v>91</v>
      </c>
      <c r="D62" s="8" t="s">
        <v>21</v>
      </c>
    </row>
    <row r="63" ht="15.75" customHeight="1">
      <c r="A63" s="8">
        <v>2004.0</v>
      </c>
      <c r="B63" s="8">
        <v>12000.0</v>
      </c>
      <c r="C63" s="8" t="s">
        <v>92</v>
      </c>
      <c r="D63" s="8" t="s">
        <v>20</v>
      </c>
    </row>
    <row r="64" ht="15.75" customHeight="1">
      <c r="A64" s="12">
        <v>2005.0</v>
      </c>
      <c r="B64" s="12">
        <v>12000.0</v>
      </c>
      <c r="C64" s="12" t="s">
        <v>93</v>
      </c>
      <c r="D64" s="12" t="s">
        <v>21</v>
      </c>
    </row>
    <row r="65" ht="15.75" customHeight="1">
      <c r="A65" s="10">
        <v>2005.0</v>
      </c>
      <c r="B65" s="10">
        <v>12000.0</v>
      </c>
      <c r="C65" s="10" t="s">
        <v>81</v>
      </c>
      <c r="D65" s="10" t="s">
        <v>11</v>
      </c>
    </row>
    <row r="66" ht="15.75" customHeight="1">
      <c r="A66" s="10">
        <v>2005.0</v>
      </c>
      <c r="B66" s="10">
        <v>10000.0</v>
      </c>
      <c r="C66" s="10" t="s">
        <v>31</v>
      </c>
      <c r="D66" s="10" t="s">
        <v>11</v>
      </c>
    </row>
    <row r="67" ht="15.75" customHeight="1">
      <c r="A67" s="10">
        <v>2005.0</v>
      </c>
      <c r="B67" s="10">
        <v>8000.0</v>
      </c>
      <c r="C67" s="10" t="s">
        <v>22</v>
      </c>
      <c r="D67" s="10" t="s">
        <v>11</v>
      </c>
    </row>
    <row r="68" ht="15.75" customHeight="1">
      <c r="A68" s="12">
        <v>2006.0</v>
      </c>
      <c r="B68" s="12">
        <v>17000.0</v>
      </c>
      <c r="C68" s="10" t="s">
        <v>94</v>
      </c>
      <c r="D68" s="12" t="s">
        <v>21</v>
      </c>
    </row>
    <row r="69" ht="15.75" customHeight="1">
      <c r="A69" s="10">
        <v>2006.0</v>
      </c>
      <c r="B69" s="10">
        <v>8000.0</v>
      </c>
      <c r="C69" s="10" t="s">
        <v>17</v>
      </c>
      <c r="D69" s="10" t="s">
        <v>11</v>
      </c>
    </row>
    <row r="70" ht="15.75" customHeight="1">
      <c r="A70" s="10">
        <v>2006.0</v>
      </c>
      <c r="B70" s="10">
        <v>25000.0</v>
      </c>
      <c r="C70" s="10" t="s">
        <v>95</v>
      </c>
      <c r="D70" s="10" t="s">
        <v>21</v>
      </c>
    </row>
    <row r="71" ht="15.75" customHeight="1">
      <c r="A71" s="10">
        <v>2006.0</v>
      </c>
      <c r="B71" s="10">
        <v>10000.0</v>
      </c>
      <c r="C71" s="10" t="s">
        <v>31</v>
      </c>
      <c r="D71" s="10" t="s">
        <v>11</v>
      </c>
    </row>
    <row r="72" ht="15.75" customHeight="1">
      <c r="A72" s="10">
        <v>2006.0</v>
      </c>
      <c r="B72" s="10">
        <v>7500.0</v>
      </c>
      <c r="C72" s="10" t="s">
        <v>20</v>
      </c>
      <c r="D72" s="10" t="s">
        <v>20</v>
      </c>
    </row>
    <row r="73" ht="15.75" customHeight="1">
      <c r="A73" s="6">
        <v>2007.0</v>
      </c>
      <c r="B73" s="6">
        <v>12000.0</v>
      </c>
      <c r="C73" s="6" t="s">
        <v>96</v>
      </c>
      <c r="D73" s="6" t="s">
        <v>11</v>
      </c>
    </row>
    <row r="74" ht="15.75" customHeight="1">
      <c r="A74" s="8">
        <v>2007.0</v>
      </c>
      <c r="B74" s="8">
        <v>12000.0</v>
      </c>
      <c r="C74" s="10" t="s">
        <v>95</v>
      </c>
      <c r="D74" s="10" t="s">
        <v>21</v>
      </c>
    </row>
    <row r="75" ht="15.75" customHeight="1">
      <c r="A75" s="16">
        <v>2007.0</v>
      </c>
      <c r="B75" s="16">
        <v>7500.0</v>
      </c>
      <c r="C75" s="16" t="s">
        <v>88</v>
      </c>
      <c r="D75" s="16" t="s">
        <v>20</v>
      </c>
    </row>
    <row r="76" ht="15.75" customHeight="1">
      <c r="A76" s="6">
        <v>2008.0</v>
      </c>
      <c r="B76" s="8">
        <v>5000.0</v>
      </c>
      <c r="C76" s="6" t="s">
        <v>97</v>
      </c>
      <c r="D76" s="6" t="s">
        <v>11</v>
      </c>
    </row>
    <row r="77" ht="15.75" customHeight="1">
      <c r="A77" s="13">
        <v>2008.0</v>
      </c>
      <c r="B77" s="13">
        <v>20000.0</v>
      </c>
      <c r="C77" s="10" t="s">
        <v>95</v>
      </c>
      <c r="D77" s="10" t="s">
        <v>21</v>
      </c>
    </row>
    <row r="78" ht="15.75" customHeight="1">
      <c r="A78" s="13">
        <v>2008.0</v>
      </c>
      <c r="B78" s="13">
        <v>6500.0</v>
      </c>
      <c r="C78" s="13" t="s">
        <v>98</v>
      </c>
      <c r="D78" s="13" t="s">
        <v>11</v>
      </c>
    </row>
    <row r="79" ht="15.75" customHeight="1">
      <c r="A79" s="16">
        <v>2008.0</v>
      </c>
      <c r="B79" s="16">
        <v>5000.0</v>
      </c>
      <c r="C79" s="16" t="s">
        <v>99</v>
      </c>
      <c r="D79" s="16" t="s">
        <v>20</v>
      </c>
    </row>
    <row r="80" ht="15.75" customHeight="1">
      <c r="A80" s="12">
        <v>2009.0</v>
      </c>
      <c r="B80" s="12">
        <v>20000.0</v>
      </c>
      <c r="C80" s="12" t="s">
        <v>100</v>
      </c>
      <c r="D80" s="12" t="s">
        <v>21</v>
      </c>
    </row>
    <row r="81" ht="15.75" customHeight="1">
      <c r="A81" s="10">
        <v>2009.0</v>
      </c>
      <c r="B81" s="10">
        <v>18000.0</v>
      </c>
      <c r="C81" s="10" t="s">
        <v>95</v>
      </c>
      <c r="D81" s="10" t="s">
        <v>21</v>
      </c>
    </row>
    <row r="82" ht="15.75" customHeight="1">
      <c r="A82" s="16">
        <v>2009.0</v>
      </c>
      <c r="B82" s="13">
        <v>2500.0</v>
      </c>
      <c r="C82" s="13" t="s">
        <v>101</v>
      </c>
      <c r="D82" s="16" t="s">
        <v>20</v>
      </c>
    </row>
    <row r="83" ht="15.75" customHeight="1">
      <c r="A83" s="12">
        <v>2010.0</v>
      </c>
      <c r="B83" s="10">
        <v>12000.0</v>
      </c>
      <c r="C83" s="12" t="s">
        <v>84</v>
      </c>
      <c r="D83" s="12" t="s">
        <v>21</v>
      </c>
    </row>
    <row r="84" ht="15.75" customHeight="1">
      <c r="A84" s="16">
        <v>2010.0</v>
      </c>
      <c r="B84" s="16">
        <v>7500.0</v>
      </c>
      <c r="C84" s="16" t="s">
        <v>88</v>
      </c>
      <c r="D84" s="16" t="s">
        <v>20</v>
      </c>
    </row>
    <row r="85" ht="15.75" customHeight="1">
      <c r="A85" s="12">
        <v>2011.0</v>
      </c>
      <c r="B85" s="12">
        <v>10000.0</v>
      </c>
      <c r="C85" s="12" t="s">
        <v>102</v>
      </c>
      <c r="D85" s="12" t="s">
        <v>21</v>
      </c>
    </row>
    <row r="86" ht="15.75" customHeight="1">
      <c r="A86" s="13">
        <v>2011.0</v>
      </c>
      <c r="B86" s="13">
        <v>15000.0</v>
      </c>
      <c r="C86" s="13" t="s">
        <v>103</v>
      </c>
      <c r="D86" s="13" t="s">
        <v>21</v>
      </c>
    </row>
    <row r="87" ht="15.75" customHeight="1">
      <c r="A87" s="13">
        <v>2011.0</v>
      </c>
      <c r="B87" s="13">
        <v>15000.0</v>
      </c>
      <c r="C87" s="13" t="s">
        <v>15</v>
      </c>
      <c r="D87" s="13" t="s">
        <v>11</v>
      </c>
    </row>
    <row r="88" ht="15.75" customHeight="1">
      <c r="A88" s="16">
        <v>2011.0</v>
      </c>
      <c r="B88" s="16">
        <v>6000.0</v>
      </c>
      <c r="C88" s="16" t="s">
        <v>104</v>
      </c>
      <c r="D88" s="16" t="s">
        <v>20</v>
      </c>
    </row>
    <row r="89" ht="15.75" customHeight="1">
      <c r="A89" s="6">
        <v>2012.0</v>
      </c>
      <c r="B89" s="6">
        <v>13500.0</v>
      </c>
      <c r="C89" s="6" t="s">
        <v>105</v>
      </c>
      <c r="D89" s="6" t="s">
        <v>11</v>
      </c>
    </row>
    <row r="90" ht="15.75" customHeight="1">
      <c r="A90" s="8">
        <v>2012.0</v>
      </c>
      <c r="B90" s="8">
        <v>12000.0</v>
      </c>
      <c r="C90" s="8" t="s">
        <v>106</v>
      </c>
      <c r="D90" s="8" t="s">
        <v>11</v>
      </c>
    </row>
    <row r="91" ht="15.75" customHeight="1">
      <c r="A91" s="8">
        <v>2012.0</v>
      </c>
      <c r="B91" s="8">
        <v>10000.0</v>
      </c>
      <c r="C91" s="8" t="s">
        <v>17</v>
      </c>
      <c r="D91" s="8" t="s">
        <v>11</v>
      </c>
    </row>
    <row r="92" ht="15.75" customHeight="1">
      <c r="A92" s="8">
        <v>2012.0</v>
      </c>
      <c r="B92" s="8">
        <v>15000.0</v>
      </c>
      <c r="C92" s="8" t="s">
        <v>107</v>
      </c>
      <c r="D92" s="8" t="s">
        <v>21</v>
      </c>
    </row>
    <row r="93" ht="15.75" customHeight="1">
      <c r="A93" s="6">
        <v>2013.0</v>
      </c>
      <c r="B93" s="6">
        <v>9500.0</v>
      </c>
      <c r="C93" s="6" t="s">
        <v>108</v>
      </c>
      <c r="D93" s="6" t="s">
        <v>11</v>
      </c>
    </row>
    <row r="94" ht="15.75" customHeight="1">
      <c r="A94" s="6">
        <v>2013.0</v>
      </c>
      <c r="B94" s="6">
        <v>10000.0</v>
      </c>
      <c r="C94" s="6" t="s">
        <v>45</v>
      </c>
      <c r="D94" s="6" t="s">
        <v>11</v>
      </c>
    </row>
    <row r="95" ht="15.75" customHeight="1">
      <c r="A95" s="6">
        <v>2014.0</v>
      </c>
      <c r="B95" s="8">
        <v>10000.0</v>
      </c>
      <c r="C95" s="8" t="s">
        <v>59</v>
      </c>
      <c r="D95" s="6" t="s">
        <v>11</v>
      </c>
    </row>
    <row r="96" ht="15.75" customHeight="1">
      <c r="A96" s="8">
        <v>2014.0</v>
      </c>
      <c r="B96" s="8">
        <v>10000.0</v>
      </c>
      <c r="C96" s="8" t="s">
        <v>15</v>
      </c>
      <c r="D96" s="8" t="s">
        <v>11</v>
      </c>
    </row>
    <row r="97" ht="15.75" customHeight="1">
      <c r="A97" s="6">
        <v>2015.0</v>
      </c>
      <c r="B97" s="6"/>
      <c r="C97" s="6"/>
      <c r="D97" s="6"/>
    </row>
    <row r="98" ht="15.75" customHeight="1">
      <c r="A98" s="8">
        <v>2015.0</v>
      </c>
      <c r="B98" s="8">
        <v>15000.0</v>
      </c>
      <c r="C98" s="8" t="s">
        <v>109</v>
      </c>
      <c r="D98" s="8" t="s">
        <v>21</v>
      </c>
    </row>
    <row r="99" ht="15.75" customHeight="1">
      <c r="A99" s="8">
        <v>2015.0</v>
      </c>
      <c r="B99" s="8"/>
      <c r="C99" s="8"/>
      <c r="D99" s="8"/>
    </row>
    <row r="100" ht="15.75" customHeight="1">
      <c r="A100" s="6">
        <v>2016.0</v>
      </c>
      <c r="B100" s="6">
        <v>14000.0</v>
      </c>
      <c r="C100" s="8" t="s">
        <v>110</v>
      </c>
      <c r="D100" s="8" t="s">
        <v>21</v>
      </c>
    </row>
    <row r="101" ht="15.75" customHeight="1">
      <c r="A101" s="12">
        <v>2017.0</v>
      </c>
      <c r="B101" s="12">
        <v>14000.0</v>
      </c>
      <c r="C101" s="12" t="s">
        <v>111</v>
      </c>
      <c r="D101" s="12" t="s">
        <v>21</v>
      </c>
    </row>
    <row r="102" ht="15.75" customHeight="1">
      <c r="A102" s="12">
        <v>2018.0</v>
      </c>
      <c r="B102" s="12">
        <v>14000.0</v>
      </c>
      <c r="C102" s="12" t="s">
        <v>112</v>
      </c>
      <c r="D102" s="12" t="s">
        <v>21</v>
      </c>
    </row>
    <row r="103" ht="15.75" customHeight="1">
      <c r="A103" s="10">
        <v>2018.0</v>
      </c>
      <c r="B103" s="10">
        <v>5000.0</v>
      </c>
      <c r="C103" s="10" t="s">
        <v>8</v>
      </c>
      <c r="D103" s="10" t="s">
        <v>20</v>
      </c>
    </row>
    <row r="104" ht="15.75" customHeight="1">
      <c r="A104" s="12">
        <v>2019.0</v>
      </c>
      <c r="B104" s="12">
        <v>13000.0</v>
      </c>
      <c r="C104" s="12" t="s">
        <v>113</v>
      </c>
      <c r="D104" s="12" t="s">
        <v>21</v>
      </c>
    </row>
    <row r="105" ht="15.75" customHeight="1">
      <c r="A105" s="12">
        <v>2020.0</v>
      </c>
      <c r="B105" s="10">
        <v>0.0</v>
      </c>
      <c r="C105" s="10" t="s">
        <v>114</v>
      </c>
      <c r="D105" s="12"/>
    </row>
    <row r="106" ht="15.75" customHeight="1">
      <c r="A106" s="12">
        <v>2021.0</v>
      </c>
      <c r="B106" s="10">
        <v>300.0</v>
      </c>
      <c r="C106" s="10" t="s">
        <v>115</v>
      </c>
      <c r="D106" s="10" t="s">
        <v>21</v>
      </c>
    </row>
    <row r="107" ht="15.75" customHeight="1">
      <c r="A107" s="10">
        <v>2022.0</v>
      </c>
      <c r="B107" s="10">
        <v>7500.0</v>
      </c>
      <c r="C107" s="10" t="s">
        <v>116</v>
      </c>
      <c r="D107" s="10" t="s">
        <v>11</v>
      </c>
    </row>
    <row r="108" ht="15.75" customHeight="1">
      <c r="A108" s="12">
        <v>2022.0</v>
      </c>
      <c r="B108" s="12">
        <v>9500.0</v>
      </c>
      <c r="C108" s="12" t="s">
        <v>87</v>
      </c>
      <c r="D108" s="12" t="s">
        <v>20</v>
      </c>
    </row>
    <row r="109" ht="15.75" customHeight="1">
      <c r="A109" s="12">
        <v>2023.0</v>
      </c>
      <c r="B109" s="10">
        <v>6000.0</v>
      </c>
      <c r="C109" s="10" t="s">
        <v>87</v>
      </c>
      <c r="D109" s="10" t="s">
        <v>20</v>
      </c>
    </row>
    <row r="110" ht="15.75" customHeight="1">
      <c r="A110" s="10">
        <v>2024.0</v>
      </c>
      <c r="B110" s="10">
        <v>14000.0</v>
      </c>
      <c r="C110" s="10" t="s">
        <v>87</v>
      </c>
      <c r="D110" s="10" t="s">
        <v>20</v>
      </c>
    </row>
    <row r="111" ht="15.75" customHeight="1">
      <c r="A111" s="10">
        <v>2024.0</v>
      </c>
      <c r="B111" s="10">
        <v>7500.0</v>
      </c>
      <c r="C111" s="10" t="s">
        <v>59</v>
      </c>
      <c r="D111" s="10" t="s">
        <v>11</v>
      </c>
    </row>
    <row r="112" ht="15.75" customHeight="1">
      <c r="A112" s="10">
        <v>2024.0</v>
      </c>
      <c r="B112" s="10">
        <v>12500.0</v>
      </c>
      <c r="C112" s="10" t="s">
        <v>117</v>
      </c>
      <c r="D112" s="10" t="s">
        <v>11</v>
      </c>
    </row>
    <row r="113" ht="15.75" customHeight="1">
      <c r="A113" s="10">
        <v>2025.0</v>
      </c>
      <c r="B113" s="10">
        <v>6600.0</v>
      </c>
      <c r="C113" s="10" t="s">
        <v>87</v>
      </c>
      <c r="D113" s="10" t="s">
        <v>20</v>
      </c>
    </row>
    <row r="114" ht="15.75" customHeight="1">
      <c r="A114" s="10">
        <v>2025.0</v>
      </c>
      <c r="B114" s="10">
        <v>11000.0</v>
      </c>
      <c r="C114" s="10" t="s">
        <v>25</v>
      </c>
      <c r="D114" s="10" t="s">
        <v>11</v>
      </c>
    </row>
    <row r="115" ht="15.75" customHeight="1">
      <c r="A115" s="10">
        <v>2026.0</v>
      </c>
      <c r="B115" s="10">
        <v>7100.0</v>
      </c>
      <c r="C115" s="10" t="s">
        <v>87</v>
      </c>
      <c r="D115" s="10" t="s">
        <v>20</v>
      </c>
    </row>
    <row r="116" ht="15.75" customHeight="1">
      <c r="A116" s="10">
        <v>2026.0</v>
      </c>
      <c r="B116" s="10">
        <v>12000.0</v>
      </c>
      <c r="C116" s="10" t="s">
        <v>117</v>
      </c>
      <c r="D116" s="10" t="s">
        <v>21</v>
      </c>
    </row>
    <row r="117" ht="15.75" customHeight="1">
      <c r="A117" s="12"/>
      <c r="B117" s="12"/>
      <c r="C117" s="12"/>
      <c r="D117" s="12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>
      <c r="C123" s="6"/>
      <c r="D123" s="6"/>
      <c r="E123" s="6"/>
      <c r="F123" s="6"/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conditionalFormatting sqref="A2:D117 C123:F123">
    <cfRule type="expression" dxfId="0" priority="1">
      <formula>$D2="policja"</formula>
    </cfRule>
  </conditionalFormatting>
  <conditionalFormatting sqref="A2:D117 C123:F123">
    <cfRule type="expression" dxfId="1" priority="2">
      <formula>$D2="prasa"</formula>
    </cfRule>
  </conditionalFormatting>
  <conditionalFormatting sqref="A2:D117 C123:F123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8.57"/>
    <col customWidth="1" min="4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  <c r="H1" s="1" t="s">
        <v>18</v>
      </c>
    </row>
    <row r="2">
      <c r="A2" s="11">
        <v>1990.0</v>
      </c>
      <c r="B2" s="15">
        <f>IFERROR(AVERAGEIFS(Dane!$B$2:$B$116,Dane!$A$2:$A$116,$A2,Dane!$D$2:$D$116,"prasa"),"")</f>
        <v>56666.66667</v>
      </c>
      <c r="C2" s="17" t="str">
        <f>IFERROR(AVERAGEIFS(Dane!$B$2:$B$116,Dane!$A$2:$A$116,$A2,Dane!$D$2:$D$116,"organizatorzy"),"")</f>
        <v/>
      </c>
      <c r="D2" s="18" t="str">
        <f>IFERROR(AVERAGEIFS(Dane!$B$2:$B$116,Dane!$A$2:$A$116,$A2,Dane!$D$2:$D$116,"policja"),"")</f>
        <v/>
      </c>
      <c r="E2" s="20">
        <f t="shared" ref="E2:E38" si="1">IFERROR((0.5*IF(B2&lt;&gt;"",B2,0) + 0.25*IF(C2&lt;&gt;"",C2,0) + 0.25*IF(D2&lt;&gt;"",D2,0))/(0.5*IF(B2&lt;&gt;"",1,0) + 0.25*IF(C2&lt;&gt;"",1,0) + 0.25*IF(D2&lt;&gt;"",1,0)),"")</f>
        <v>56666.66667</v>
      </c>
      <c r="F2" s="20">
        <f>IFERROR(AVERAGEIFS(Dane!$B$2:$B$116,Dane!$A$2:$A$116,$A2),"")</f>
        <v>56666.66667</v>
      </c>
      <c r="G2" s="21">
        <f t="shared" ref="G2:G38" si="2">E2-F2</f>
        <v>0</v>
      </c>
    </row>
    <row r="3">
      <c r="A3" s="11">
        <v>1991.0</v>
      </c>
      <c r="B3" s="15">
        <f>IFERROR(AVERAGEIFS(Dane!$B$2:$B$116,Dane!$A$2:$A$116,$A3,Dane!$D$2:$D$116,"prasa"),"")</f>
        <v>7500</v>
      </c>
      <c r="C3" s="17">
        <f>IFERROR(AVERAGEIFS(Dane!$B$2:$B$116,Dane!$A$2:$A$116,$A3,Dane!$D$2:$D$116,"organizatorzy"),"")</f>
        <v>15000</v>
      </c>
      <c r="D3" s="18" t="str">
        <f>IFERROR(AVERAGEIFS(Dane!$B$2:$B$116,Dane!$A$2:$A$116,$A3,Dane!$D$2:$D$116,"policja"),"")</f>
        <v/>
      </c>
      <c r="E3" s="20">
        <f t="shared" si="1"/>
        <v>10000</v>
      </c>
      <c r="F3" s="20">
        <f>IFERROR(AVERAGEIFS(Dane!$B$2:$B$116,Dane!$A$2:$A$116,$A3),"")</f>
        <v>10000</v>
      </c>
      <c r="G3" s="21">
        <f t="shared" si="2"/>
        <v>0</v>
      </c>
      <c r="H3" s="21">
        <f t="shared" ref="H3:H37" si="3">AVERAGE(F2:F4)</f>
        <v>29888.88889</v>
      </c>
    </row>
    <row r="4">
      <c r="A4" s="11">
        <v>1992.0</v>
      </c>
      <c r="B4" s="15">
        <f>IFERROR(AVERAGEIFS(Dane!$B$2:$B$116,Dane!$A$2:$A$116,$A4,Dane!$D$2:$D$116,"prasa"),"")</f>
        <v>26250</v>
      </c>
      <c r="C4" s="17">
        <f>IFERROR(AVERAGEIFS(Dane!$B$2:$B$116,Dane!$A$2:$A$116,$A4,Dane!$D$2:$D$116,"organizatorzy"),"")</f>
        <v>25000</v>
      </c>
      <c r="D4" s="18">
        <f>IFERROR(AVERAGEIFS(Dane!$B$2:$B$116,Dane!$A$2:$A$116,$A4,Dane!$D$2:$D$116,"policja"),"")</f>
        <v>8000</v>
      </c>
      <c r="E4" s="20">
        <f t="shared" si="1"/>
        <v>21375</v>
      </c>
      <c r="F4" s="20">
        <f>IFERROR(AVERAGEIFS(Dane!$B$2:$B$116,Dane!$A$2:$A$116,$A4),"")</f>
        <v>23000</v>
      </c>
      <c r="G4" s="21">
        <f t="shared" si="2"/>
        <v>-1625</v>
      </c>
      <c r="H4" s="21">
        <f t="shared" si="3"/>
        <v>16555.55556</v>
      </c>
    </row>
    <row r="5">
      <c r="A5" s="11">
        <v>1993.0</v>
      </c>
      <c r="B5" s="15">
        <f>IFERROR(AVERAGEIFS(Dane!$B$2:$B$116,Dane!$A$2:$A$116,$A5,Dane!$D$2:$D$116,"prasa"),"")</f>
        <v>10000</v>
      </c>
      <c r="C5" s="17">
        <f>IFERROR(AVERAGEIFS(Dane!$B$2:$B$116,Dane!$A$2:$A$116,$A5,Dane!$D$2:$D$116,"organizatorzy"),"")</f>
        <v>30000</v>
      </c>
      <c r="D5" s="18" t="str">
        <f>IFERROR(AVERAGEIFS(Dane!$B$2:$B$116,Dane!$A$2:$A$116,$A5,Dane!$D$2:$D$116,"policja"),"")</f>
        <v/>
      </c>
      <c r="E5" s="20">
        <f t="shared" si="1"/>
        <v>16666.66667</v>
      </c>
      <c r="F5" s="20">
        <f>IFERROR(AVERAGEIFS(Dane!$B$2:$B$116,Dane!$A$2:$A$116,$A5),"")</f>
        <v>16666.66667</v>
      </c>
      <c r="G5" s="21">
        <f t="shared" si="2"/>
        <v>0</v>
      </c>
      <c r="H5" s="21">
        <f t="shared" si="3"/>
        <v>15222.22222</v>
      </c>
    </row>
    <row r="6">
      <c r="A6" s="11">
        <v>1994.0</v>
      </c>
      <c r="B6" s="15">
        <f>IFERROR(AVERAGEIFS(Dane!$B$2:$B$116,Dane!$A$2:$A$116,$A6,Dane!$D$2:$D$116,"prasa"),"")</f>
        <v>5000</v>
      </c>
      <c r="C6" s="17">
        <f>IFERROR(AVERAGEIFS(Dane!$B$2:$B$116,Dane!$A$2:$A$116,$A6,Dane!$D$2:$D$116,"organizatorzy"),"")</f>
        <v>8000</v>
      </c>
      <c r="D6" s="18" t="str">
        <f>IFERROR(AVERAGEIFS(Dane!$B$2:$B$116,Dane!$A$2:$A$116,$A6,Dane!$D$2:$D$116,"policja"),"")</f>
        <v/>
      </c>
      <c r="E6" s="20">
        <f t="shared" si="1"/>
        <v>6000</v>
      </c>
      <c r="F6" s="20">
        <f>IFERROR(AVERAGEIFS(Dane!$B$2:$B$116,Dane!$A$2:$A$116,$A6),"")</f>
        <v>6000</v>
      </c>
      <c r="G6" s="21">
        <f t="shared" si="2"/>
        <v>0</v>
      </c>
      <c r="H6" s="21">
        <f t="shared" si="3"/>
        <v>10022.22222</v>
      </c>
    </row>
    <row r="7">
      <c r="A7" s="11">
        <v>1995.0</v>
      </c>
      <c r="B7" s="15">
        <f>IFERROR(AVERAGEIFS(Dane!$B$2:$B$116,Dane!$A$2:$A$116,$A7,Dane!$D$2:$D$116,"prasa"),"")</f>
        <v>6750</v>
      </c>
      <c r="C7" s="17">
        <f>IFERROR(AVERAGEIFS(Dane!$B$2:$B$116,Dane!$A$2:$A$116,$A7,Dane!$D$2:$D$116,"organizatorzy"),"")</f>
        <v>10000</v>
      </c>
      <c r="D7" s="18" t="str">
        <f>IFERROR(AVERAGEIFS(Dane!$B$2:$B$116,Dane!$A$2:$A$116,$A7,Dane!$D$2:$D$116,"policja"),"")</f>
        <v/>
      </c>
      <c r="E7" s="20">
        <f t="shared" si="1"/>
        <v>7833.333333</v>
      </c>
      <c r="F7" s="20">
        <f>IFERROR(AVERAGEIFS(Dane!$B$2:$B$116,Dane!$A$2:$A$116,$A7),"")</f>
        <v>7400</v>
      </c>
      <c r="G7" s="21">
        <f t="shared" si="2"/>
        <v>433.3333333</v>
      </c>
      <c r="H7" s="21">
        <f t="shared" si="3"/>
        <v>10022.22222</v>
      </c>
    </row>
    <row r="8">
      <c r="A8" s="11">
        <v>1996.0</v>
      </c>
      <c r="B8" s="15">
        <f>IFERROR(AVERAGEIFS(Dane!$B$2:$B$116,Dane!$A$2:$A$116,$A8,Dane!$D$2:$D$116,"prasa"),"")</f>
        <v>16666.66667</v>
      </c>
      <c r="C8" s="17" t="str">
        <f>IFERROR(AVERAGEIFS(Dane!$B$2:$B$116,Dane!$A$2:$A$116,$A8,Dane!$D$2:$D$116,"organizatorzy"),"")</f>
        <v/>
      </c>
      <c r="D8" s="18" t="str">
        <f>IFERROR(AVERAGEIFS(Dane!$B$2:$B$116,Dane!$A$2:$A$116,$A8,Dane!$D$2:$D$116,"policja"),"")</f>
        <v/>
      </c>
      <c r="E8" s="20">
        <f t="shared" si="1"/>
        <v>16666.66667</v>
      </c>
      <c r="F8" s="20">
        <f>IFERROR(AVERAGEIFS(Dane!$B$2:$B$116,Dane!$A$2:$A$116,$A8),"")</f>
        <v>16666.66667</v>
      </c>
      <c r="G8" s="21">
        <f t="shared" si="2"/>
        <v>0</v>
      </c>
      <c r="H8" s="21">
        <f t="shared" si="3"/>
        <v>11188.88889</v>
      </c>
    </row>
    <row r="9">
      <c r="A9" s="11">
        <v>1997.0</v>
      </c>
      <c r="B9" s="15">
        <f>IFERROR(AVERAGEIFS(Dane!$B$2:$B$116,Dane!$A$2:$A$116,$A9,Dane!$D$2:$D$116,"prasa"),"")</f>
        <v>5833.333333</v>
      </c>
      <c r="C9" s="17">
        <f>IFERROR(AVERAGEIFS(Dane!$B$2:$B$116,Dane!$A$2:$A$116,$A9,Dane!$D$2:$D$116,"organizatorzy"),"")</f>
        <v>25000</v>
      </c>
      <c r="D9" s="18">
        <f>IFERROR(AVERAGEIFS(Dane!$B$2:$B$116,Dane!$A$2:$A$116,$A9,Dane!$D$2:$D$116,"policja"),"")</f>
        <v>5000</v>
      </c>
      <c r="E9" s="20">
        <f t="shared" si="1"/>
        <v>10416.66667</v>
      </c>
      <c r="F9" s="20">
        <f>IFERROR(AVERAGEIFS(Dane!$B$2:$B$116,Dane!$A$2:$A$116,$A9),"")</f>
        <v>9500</v>
      </c>
      <c r="G9" s="21">
        <f t="shared" si="2"/>
        <v>916.6666667</v>
      </c>
      <c r="H9" s="21">
        <f t="shared" si="3"/>
        <v>13347.22222</v>
      </c>
    </row>
    <row r="10">
      <c r="A10" s="11">
        <v>1998.0</v>
      </c>
      <c r="B10" s="15">
        <f>IFERROR(AVERAGEIFS(Dane!$B$2:$B$116,Dane!$A$2:$A$116,$A10,Dane!$D$2:$D$116,"prasa"),"")</f>
        <v>12666.66667</v>
      </c>
      <c r="C10" s="17">
        <f>IFERROR(AVERAGEIFS(Dane!$B$2:$B$116,Dane!$A$2:$A$116,$A10,Dane!$D$2:$D$116,"organizatorzy"),"")</f>
        <v>17500</v>
      </c>
      <c r="D10" s="18" t="str">
        <f>IFERROR(AVERAGEIFS(Dane!$B$2:$B$116,Dane!$A$2:$A$116,$A10,Dane!$D$2:$D$116,"policja"),"")</f>
        <v/>
      </c>
      <c r="E10" s="20">
        <f t="shared" si="1"/>
        <v>14277.77778</v>
      </c>
      <c r="F10" s="20">
        <f>IFERROR(AVERAGEIFS(Dane!$B$2:$B$116,Dane!$A$2:$A$116,$A10),"")</f>
        <v>13875</v>
      </c>
      <c r="G10" s="21">
        <f t="shared" si="2"/>
        <v>402.7777778</v>
      </c>
      <c r="H10" s="21">
        <f t="shared" si="3"/>
        <v>11258.33333</v>
      </c>
    </row>
    <row r="11">
      <c r="A11" s="11">
        <v>1999.0</v>
      </c>
      <c r="B11" s="15">
        <f>IFERROR(AVERAGEIFS(Dane!$B$2:$B$116,Dane!$A$2:$A$116,$A11,Dane!$D$2:$D$116,"prasa"),"")</f>
        <v>10000</v>
      </c>
      <c r="C11" s="17">
        <f>IFERROR(AVERAGEIFS(Dane!$B$2:$B$116,Dane!$A$2:$A$116,$A11,Dane!$D$2:$D$116,"organizatorzy"),"")</f>
        <v>15000</v>
      </c>
      <c r="D11" s="18">
        <f>IFERROR(AVERAGEIFS(Dane!$B$2:$B$116,Dane!$A$2:$A$116,$A11,Dane!$D$2:$D$116,"policja"),"")</f>
        <v>7000</v>
      </c>
      <c r="E11" s="20">
        <f t="shared" si="1"/>
        <v>10500</v>
      </c>
      <c r="F11" s="20">
        <f>IFERROR(AVERAGEIFS(Dane!$B$2:$B$116,Dane!$A$2:$A$116,$A11),"")</f>
        <v>10400</v>
      </c>
      <c r="G11" s="21">
        <f t="shared" si="2"/>
        <v>100</v>
      </c>
      <c r="H11" s="21">
        <f t="shared" si="3"/>
        <v>11813.88889</v>
      </c>
    </row>
    <row r="12">
      <c r="A12" s="11">
        <v>2000.0</v>
      </c>
      <c r="B12" s="15">
        <f>IFERROR(AVERAGEIFS(Dane!$B$2:$B$116,Dane!$A$2:$A$116,$A12,Dane!$D$2:$D$116,"prasa"),"")</f>
        <v>10000</v>
      </c>
      <c r="C12" s="17">
        <f>IFERROR(AVERAGEIFS(Dane!$B$2:$B$116,Dane!$A$2:$A$116,$A12,Dane!$D$2:$D$116,"organizatorzy"),"")</f>
        <v>15000</v>
      </c>
      <c r="D12" s="18">
        <f>IFERROR(AVERAGEIFS(Dane!$B$2:$B$116,Dane!$A$2:$A$116,$A12,Dane!$D$2:$D$116,"policja"),"")</f>
        <v>7000</v>
      </c>
      <c r="E12" s="20">
        <f t="shared" si="1"/>
        <v>10500</v>
      </c>
      <c r="F12" s="20">
        <f>IFERROR(AVERAGEIFS(Dane!$B$2:$B$116,Dane!$A$2:$A$116,$A12),"")</f>
        <v>11166.66667</v>
      </c>
      <c r="G12" s="21">
        <f t="shared" si="2"/>
        <v>-666.6666667</v>
      </c>
      <c r="H12" s="21">
        <f t="shared" si="3"/>
        <v>12800</v>
      </c>
    </row>
    <row r="13">
      <c r="A13" s="11">
        <v>2001.0</v>
      </c>
      <c r="B13" s="15">
        <f>IFERROR(AVERAGEIFS(Dane!$B$2:$B$116,Dane!$A$2:$A$116,$A13,Dane!$D$2:$D$116,"prasa"),"")</f>
        <v>16833.33333</v>
      </c>
      <c r="C13" s="17" t="str">
        <f>IFERROR(AVERAGEIFS(Dane!$B$2:$B$116,Dane!$A$2:$A$116,$A13,Dane!$D$2:$D$116,"organizatorzy"),"")</f>
        <v/>
      </c>
      <c r="D13" s="18" t="str">
        <f>IFERROR(AVERAGEIFS(Dane!$B$2:$B$116,Dane!$A$2:$A$116,$A13,Dane!$D$2:$D$116,"policja"),"")</f>
        <v/>
      </c>
      <c r="E13" s="20">
        <f t="shared" si="1"/>
        <v>16833.33333</v>
      </c>
      <c r="F13" s="20">
        <f>IFERROR(AVERAGEIFS(Dane!$B$2:$B$116,Dane!$A$2:$A$116,$A13),"")</f>
        <v>16833.33333</v>
      </c>
      <c r="G13" s="21">
        <f t="shared" si="2"/>
        <v>0</v>
      </c>
      <c r="H13" s="21">
        <f t="shared" si="3"/>
        <v>13833.33333</v>
      </c>
    </row>
    <row r="14">
      <c r="A14" s="11">
        <v>2002.0</v>
      </c>
      <c r="B14" s="15">
        <f>IFERROR(AVERAGEIFS(Dane!$B$2:$B$116,Dane!$A$2:$A$116,$A14,Dane!$D$2:$D$116,"prasa"),"")</f>
        <v>11000</v>
      </c>
      <c r="C14" s="17">
        <f>IFERROR(AVERAGEIFS(Dane!$B$2:$B$116,Dane!$A$2:$A$116,$A14,Dane!$D$2:$D$116,"organizatorzy"),"")</f>
        <v>25000</v>
      </c>
      <c r="D14" s="18">
        <f>IFERROR(AVERAGEIFS(Dane!$B$2:$B$116,Dane!$A$2:$A$116,$A14,Dane!$D$2:$D$116,"policja"),"")</f>
        <v>7000</v>
      </c>
      <c r="E14" s="20">
        <f t="shared" si="1"/>
        <v>13500</v>
      </c>
      <c r="F14" s="20">
        <f>IFERROR(AVERAGEIFS(Dane!$B$2:$B$116,Dane!$A$2:$A$116,$A14),"")</f>
        <v>13500</v>
      </c>
      <c r="G14" s="21">
        <f t="shared" si="2"/>
        <v>0</v>
      </c>
      <c r="H14" s="21">
        <f t="shared" si="3"/>
        <v>14611.11111</v>
      </c>
    </row>
    <row r="15">
      <c r="A15" s="11">
        <v>2003.0</v>
      </c>
      <c r="B15" s="15" t="str">
        <f>IFERROR(AVERAGEIFS(Dane!$B$2:$B$116,Dane!$A$2:$A$116,$A15,Dane!$D$2:$D$116,"prasa"),"")</f>
        <v/>
      </c>
      <c r="C15" s="17">
        <f>IFERROR(AVERAGEIFS(Dane!$B$2:$B$116,Dane!$A$2:$A$116,$A15,Dane!$D$2:$D$116,"organizatorzy"),"")</f>
        <v>20000</v>
      </c>
      <c r="D15" s="18">
        <f>IFERROR(AVERAGEIFS(Dane!$B$2:$B$116,Dane!$A$2:$A$116,$A15,Dane!$D$2:$D$116,"policja"),"")</f>
        <v>7000</v>
      </c>
      <c r="E15" s="20">
        <f t="shared" si="1"/>
        <v>13500</v>
      </c>
      <c r="F15" s="20">
        <f>IFERROR(AVERAGEIFS(Dane!$B$2:$B$116,Dane!$A$2:$A$116,$A15),"")</f>
        <v>13500</v>
      </c>
      <c r="G15" s="21">
        <f t="shared" si="2"/>
        <v>0</v>
      </c>
      <c r="H15" s="21">
        <f t="shared" si="3"/>
        <v>15166.66667</v>
      </c>
    </row>
    <row r="16">
      <c r="A16" s="11">
        <v>2004.0</v>
      </c>
      <c r="B16" s="15" t="str">
        <f>IFERROR(AVERAGEIFS(Dane!$B$2:$B$116,Dane!$A$2:$A$116,$A16,Dane!$D$2:$D$116,"prasa"),"")</f>
        <v/>
      </c>
      <c r="C16" s="17">
        <f>IFERROR(AVERAGEIFS(Dane!$B$2:$B$116,Dane!$A$2:$A$116,$A16,Dane!$D$2:$D$116,"organizatorzy"),"")</f>
        <v>25000</v>
      </c>
      <c r="D16" s="18">
        <f>IFERROR(AVERAGEIFS(Dane!$B$2:$B$116,Dane!$A$2:$A$116,$A16,Dane!$D$2:$D$116,"policja"),"")</f>
        <v>12000</v>
      </c>
      <c r="E16" s="20">
        <f t="shared" si="1"/>
        <v>18500</v>
      </c>
      <c r="F16" s="20">
        <f>IFERROR(AVERAGEIFS(Dane!$B$2:$B$116,Dane!$A$2:$A$116,$A16),"")</f>
        <v>18500</v>
      </c>
      <c r="G16" s="21">
        <f t="shared" si="2"/>
        <v>0</v>
      </c>
      <c r="H16" s="21">
        <f t="shared" si="3"/>
        <v>14166.66667</v>
      </c>
    </row>
    <row r="17">
      <c r="A17" s="11">
        <v>2005.0</v>
      </c>
      <c r="B17" s="15">
        <f>IFERROR(AVERAGEIFS(Dane!$B$2:$B$116,Dane!$A$2:$A$116,$A17,Dane!$D$2:$D$116,"prasa"),"")</f>
        <v>10000</v>
      </c>
      <c r="C17" s="17">
        <f>IFERROR(AVERAGEIFS(Dane!$B$2:$B$116,Dane!$A$2:$A$116,$A17,Dane!$D$2:$D$116,"organizatorzy"),"")</f>
        <v>12000</v>
      </c>
      <c r="D17" s="18" t="str">
        <f>IFERROR(AVERAGEIFS(Dane!$B$2:$B$116,Dane!$A$2:$A$116,$A17,Dane!$D$2:$D$116,"policja"),"")</f>
        <v/>
      </c>
      <c r="E17" s="20">
        <f t="shared" si="1"/>
        <v>10666.66667</v>
      </c>
      <c r="F17" s="20">
        <f>IFERROR(AVERAGEIFS(Dane!$B$2:$B$116,Dane!$A$2:$A$116,$A17),"")</f>
        <v>10500</v>
      </c>
      <c r="G17" s="21">
        <f t="shared" si="2"/>
        <v>166.6666667</v>
      </c>
      <c r="H17" s="21">
        <f t="shared" si="3"/>
        <v>14166.66667</v>
      </c>
    </row>
    <row r="18">
      <c r="A18" s="11">
        <v>2006.0</v>
      </c>
      <c r="B18" s="15">
        <f>IFERROR(AVERAGEIFS(Dane!$B$2:$B$116,Dane!$A$2:$A$116,$A18,Dane!$D$2:$D$116,"prasa"),"")</f>
        <v>9000</v>
      </c>
      <c r="C18" s="17">
        <f>IFERROR(AVERAGEIFS(Dane!$B$2:$B$116,Dane!$A$2:$A$116,$A18,Dane!$D$2:$D$116,"organizatorzy"),"")</f>
        <v>21000</v>
      </c>
      <c r="D18" s="18">
        <f>IFERROR(AVERAGEIFS(Dane!$B$2:$B$116,Dane!$A$2:$A$116,$A18,Dane!$D$2:$D$116,"policja"),"")</f>
        <v>7500</v>
      </c>
      <c r="E18" s="20">
        <f t="shared" si="1"/>
        <v>11625</v>
      </c>
      <c r="F18" s="20">
        <f>IFERROR(AVERAGEIFS(Dane!$B$2:$B$116,Dane!$A$2:$A$116,$A18),"")</f>
        <v>13500</v>
      </c>
      <c r="G18" s="21">
        <f t="shared" si="2"/>
        <v>-1875</v>
      </c>
      <c r="H18" s="21">
        <f t="shared" si="3"/>
        <v>11500</v>
      </c>
    </row>
    <row r="19">
      <c r="A19" s="11">
        <v>2007.0</v>
      </c>
      <c r="B19" s="15">
        <f>IFERROR(AVERAGEIFS(Dane!$B$2:$B$116,Dane!$A$2:$A$116,$A19,Dane!$D$2:$D$116,"prasa"),"")</f>
        <v>12000</v>
      </c>
      <c r="C19" s="17">
        <f>IFERROR(AVERAGEIFS(Dane!$B$2:$B$116,Dane!$A$2:$A$116,$A19,Dane!$D$2:$D$116,"organizatorzy"),"")</f>
        <v>12000</v>
      </c>
      <c r="D19" s="18">
        <f>IFERROR(AVERAGEIFS(Dane!$B$2:$B$116,Dane!$A$2:$A$116,$A19,Dane!$D$2:$D$116,"policja"),"")</f>
        <v>7500</v>
      </c>
      <c r="E19" s="20">
        <f t="shared" si="1"/>
        <v>10875</v>
      </c>
      <c r="F19" s="20">
        <f>IFERROR(AVERAGEIFS(Dane!$B$2:$B$116,Dane!$A$2:$A$116,$A19),"")</f>
        <v>10500</v>
      </c>
      <c r="G19" s="21">
        <f t="shared" si="2"/>
        <v>375</v>
      </c>
      <c r="H19" s="21">
        <f t="shared" si="3"/>
        <v>11041.66667</v>
      </c>
    </row>
    <row r="20">
      <c r="A20" s="11">
        <v>2008.0</v>
      </c>
      <c r="B20" s="15">
        <f>IFERROR(AVERAGEIFS(Dane!$B$2:$B$116,Dane!$A$2:$A$116,$A20,Dane!$D$2:$D$116,"prasa"),"")</f>
        <v>5750</v>
      </c>
      <c r="C20" s="17">
        <f>IFERROR(AVERAGEIFS(Dane!$B$2:$B$116,Dane!$A$2:$A$116,$A20,Dane!$D$2:$D$116,"organizatorzy"),"")</f>
        <v>20000</v>
      </c>
      <c r="D20" s="18">
        <f>IFERROR(AVERAGEIFS(Dane!$B$2:$B$116,Dane!$A$2:$A$116,$A20,Dane!$D$2:$D$116,"policja"),"")</f>
        <v>5000</v>
      </c>
      <c r="E20" s="20">
        <f t="shared" si="1"/>
        <v>9125</v>
      </c>
      <c r="F20" s="20">
        <f>IFERROR(AVERAGEIFS(Dane!$B$2:$B$116,Dane!$A$2:$A$116,$A20),"")</f>
        <v>9125</v>
      </c>
      <c r="G20" s="21">
        <f t="shared" si="2"/>
        <v>0</v>
      </c>
      <c r="H20" s="21">
        <f t="shared" si="3"/>
        <v>11041.66667</v>
      </c>
    </row>
    <row r="21" ht="15.75" customHeight="1">
      <c r="A21" s="11">
        <v>2009.0</v>
      </c>
      <c r="B21" s="15" t="str">
        <f>IFERROR(AVERAGEIFS(Dane!$B$2:$B$116,Dane!$A$2:$A$116,$A21,Dane!$D$2:$D$116,"prasa"),"")</f>
        <v/>
      </c>
      <c r="C21" s="17">
        <f>IFERROR(AVERAGEIFS(Dane!$B$2:$B$116,Dane!$A$2:$A$116,$A21,Dane!$D$2:$D$116,"organizatorzy"),"")</f>
        <v>19000</v>
      </c>
      <c r="D21" s="18">
        <f>IFERROR(AVERAGEIFS(Dane!$B$2:$B$116,Dane!$A$2:$A$116,$A21,Dane!$D$2:$D$116,"policja"),"")</f>
        <v>2500</v>
      </c>
      <c r="E21" s="20">
        <f t="shared" si="1"/>
        <v>10750</v>
      </c>
      <c r="F21" s="20">
        <f>IFERROR(AVERAGEIFS(Dane!$B$2:$B$116,Dane!$A$2:$A$116,$A21),"")</f>
        <v>13500</v>
      </c>
      <c r="G21" s="21">
        <f t="shared" si="2"/>
        <v>-2750</v>
      </c>
      <c r="H21" s="21">
        <f t="shared" si="3"/>
        <v>10791.66667</v>
      </c>
    </row>
    <row r="22" ht="15.75" customHeight="1">
      <c r="A22" s="11">
        <v>2010.0</v>
      </c>
      <c r="B22" s="15" t="str">
        <f>IFERROR(AVERAGEIFS(Dane!$B$2:$B$116,Dane!$A$2:$A$116,$A22,Dane!$D$2:$D$116,"prasa"),"")</f>
        <v/>
      </c>
      <c r="C22" s="17">
        <f>IFERROR(AVERAGEIFS(Dane!$B$2:$B$116,Dane!$A$2:$A$116,$A22,Dane!$D$2:$D$116,"organizatorzy"),"")</f>
        <v>12000</v>
      </c>
      <c r="D22" s="18">
        <f>IFERROR(AVERAGEIFS(Dane!$B$2:$B$116,Dane!$A$2:$A$116,$A22,Dane!$D$2:$D$116,"policja"),"")</f>
        <v>7500</v>
      </c>
      <c r="E22" s="20">
        <f t="shared" si="1"/>
        <v>9750</v>
      </c>
      <c r="F22" s="20">
        <f>IFERROR(AVERAGEIFS(Dane!$B$2:$B$116,Dane!$A$2:$A$116,$A22),"")</f>
        <v>9750</v>
      </c>
      <c r="G22" s="21">
        <f t="shared" si="2"/>
        <v>0</v>
      </c>
      <c r="H22" s="21">
        <f t="shared" si="3"/>
        <v>11583.33333</v>
      </c>
    </row>
    <row r="23" ht="15.75" customHeight="1">
      <c r="A23" s="11">
        <v>2011.0</v>
      </c>
      <c r="B23" s="15">
        <f>IFERROR(AVERAGEIFS(Dane!$B$2:$B$116,Dane!$A$2:$A$116,$A23,Dane!$D$2:$D$116,"prasa"),"")</f>
        <v>15000</v>
      </c>
      <c r="C23" s="17">
        <f>IFERROR(AVERAGEIFS(Dane!$B$2:$B$116,Dane!$A$2:$A$116,$A23,Dane!$D$2:$D$116,"organizatorzy"),"")</f>
        <v>12500</v>
      </c>
      <c r="D23" s="18">
        <f>IFERROR(AVERAGEIFS(Dane!$B$2:$B$116,Dane!$A$2:$A$116,$A23,Dane!$D$2:$D$116,"policja"),"")</f>
        <v>6000</v>
      </c>
      <c r="E23" s="20">
        <f t="shared" si="1"/>
        <v>12125</v>
      </c>
      <c r="F23" s="20">
        <f>IFERROR(AVERAGEIFS(Dane!$B$2:$B$116,Dane!$A$2:$A$116,$A23),"")</f>
        <v>11500</v>
      </c>
      <c r="G23" s="21">
        <f t="shared" si="2"/>
        <v>625</v>
      </c>
      <c r="H23" s="21">
        <f t="shared" si="3"/>
        <v>11291.66667</v>
      </c>
    </row>
    <row r="24" ht="15.75" customHeight="1">
      <c r="A24" s="11">
        <v>2012.0</v>
      </c>
      <c r="B24" s="15">
        <f>IFERROR(AVERAGEIFS(Dane!$B$2:$B$116,Dane!$A$2:$A$116,$A24,Dane!$D$2:$D$116,"prasa"),"")</f>
        <v>11833.33333</v>
      </c>
      <c r="C24" s="17">
        <f>IFERROR(AVERAGEIFS(Dane!$B$2:$B$116,Dane!$A$2:$A$116,$A24,Dane!$D$2:$D$116,"organizatorzy"),"")</f>
        <v>15000</v>
      </c>
      <c r="D24" s="18" t="str">
        <f>IFERROR(AVERAGEIFS(Dane!$B$2:$B$116,Dane!$A$2:$A$116,$A24,Dane!$D$2:$D$116,"policja"),"")</f>
        <v/>
      </c>
      <c r="E24" s="20">
        <f t="shared" si="1"/>
        <v>12888.88889</v>
      </c>
      <c r="F24" s="20">
        <f>IFERROR(AVERAGEIFS(Dane!$B$2:$B$116,Dane!$A$2:$A$116,$A24),"")</f>
        <v>12625</v>
      </c>
      <c r="G24" s="21">
        <f t="shared" si="2"/>
        <v>263.8888889</v>
      </c>
      <c r="H24" s="21">
        <f t="shared" si="3"/>
        <v>11291.66667</v>
      </c>
    </row>
    <row r="25" ht="15.75" customHeight="1">
      <c r="A25" s="11">
        <v>2013.0</v>
      </c>
      <c r="B25" s="15">
        <f>IFERROR(AVERAGEIFS(Dane!$B$2:$B$116,Dane!$A$2:$A$116,$A25,Dane!$D$2:$D$116,"prasa"),"")</f>
        <v>9750</v>
      </c>
      <c r="C25" s="17" t="str">
        <f>IFERROR(AVERAGEIFS(Dane!$B$2:$B$116,Dane!$A$2:$A$116,$A25,Dane!$D$2:$D$116,"organizatorzy"),"")</f>
        <v/>
      </c>
      <c r="D25" s="18" t="str">
        <f>IFERROR(AVERAGEIFS(Dane!$B$2:$B$116,Dane!$A$2:$A$116,$A25,Dane!$D$2:$D$116,"policja"),"")</f>
        <v/>
      </c>
      <c r="E25" s="20">
        <f t="shared" si="1"/>
        <v>9750</v>
      </c>
      <c r="F25" s="20">
        <f>IFERROR(AVERAGEIFS(Dane!$B$2:$B$116,Dane!$A$2:$A$116,$A25),"")</f>
        <v>9750</v>
      </c>
      <c r="G25" s="21">
        <f t="shared" si="2"/>
        <v>0</v>
      </c>
      <c r="H25" s="21">
        <f t="shared" si="3"/>
        <v>10791.66667</v>
      </c>
    </row>
    <row r="26" ht="15.75" customHeight="1">
      <c r="A26" s="11">
        <v>2014.0</v>
      </c>
      <c r="B26" s="15">
        <f>IFERROR(AVERAGEIFS(Dane!$B$2:$B$116,Dane!$A$2:$A$116,$A26,Dane!$D$2:$D$116,"prasa"),"")</f>
        <v>10000</v>
      </c>
      <c r="C26" s="17" t="str">
        <f>IFERROR(AVERAGEIFS(Dane!$B$2:$B$116,Dane!$A$2:$A$116,$A26,Dane!$D$2:$D$116,"organizatorzy"),"")</f>
        <v/>
      </c>
      <c r="D26" s="18" t="str">
        <f>IFERROR(AVERAGEIFS(Dane!$B$2:$B$116,Dane!$A$2:$A$116,$A26,Dane!$D$2:$D$116,"policja"),"")</f>
        <v/>
      </c>
      <c r="E26" s="20">
        <f t="shared" si="1"/>
        <v>10000</v>
      </c>
      <c r="F26" s="20">
        <f>IFERROR(AVERAGEIFS(Dane!$B$2:$B$116,Dane!$A$2:$A$116,$A26),"")</f>
        <v>10000</v>
      </c>
      <c r="G26" s="21">
        <f t="shared" si="2"/>
        <v>0</v>
      </c>
      <c r="H26" s="21">
        <f t="shared" si="3"/>
        <v>11583.33333</v>
      </c>
    </row>
    <row r="27" ht="15.75" customHeight="1">
      <c r="A27" s="11">
        <v>2015.0</v>
      </c>
      <c r="B27" s="15" t="str">
        <f>IFERROR(AVERAGEIFS(Dane!$B$2:$B$116,Dane!$A$2:$A$116,$A27,Dane!$D$2:$D$116,"prasa"),"")</f>
        <v/>
      </c>
      <c r="C27" s="17">
        <f>IFERROR(AVERAGEIFS(Dane!$B$2:$B$116,Dane!$A$2:$A$116,$A27,Dane!$D$2:$D$116,"organizatorzy"),"")</f>
        <v>15000</v>
      </c>
      <c r="D27" s="18" t="str">
        <f>IFERROR(AVERAGEIFS(Dane!$B$2:$B$116,Dane!$A$2:$A$116,$A27,Dane!$D$2:$D$116,"policja"),"")</f>
        <v/>
      </c>
      <c r="E27" s="20">
        <f t="shared" si="1"/>
        <v>15000</v>
      </c>
      <c r="F27" s="20">
        <f>IFERROR(AVERAGEIFS(Dane!$B$2:$B$116,Dane!$A$2:$A$116,$A27),"")</f>
        <v>15000</v>
      </c>
      <c r="G27" s="21">
        <f t="shared" si="2"/>
        <v>0</v>
      </c>
      <c r="H27" s="21">
        <f t="shared" si="3"/>
        <v>13000</v>
      </c>
    </row>
    <row r="28" ht="15.75" customHeight="1">
      <c r="A28" s="11">
        <v>2016.0</v>
      </c>
      <c r="B28" s="15" t="str">
        <f>IFERROR(AVERAGEIFS(Dane!$B$2:$B$116,Dane!$A$2:$A$116,$A28,Dane!$D$2:$D$116,"prasa"),"")</f>
        <v/>
      </c>
      <c r="C28" s="17">
        <f>IFERROR(AVERAGEIFS(Dane!$B$2:$B$116,Dane!$A$2:$A$116,$A28,Dane!$D$2:$D$116,"organizatorzy"),"")</f>
        <v>14000</v>
      </c>
      <c r="D28" s="18" t="str">
        <f>IFERROR(AVERAGEIFS(Dane!$B$2:$B$116,Dane!$A$2:$A$116,$A28,Dane!$D$2:$D$116,"policja"),"")</f>
        <v/>
      </c>
      <c r="E28" s="20">
        <f t="shared" si="1"/>
        <v>14000</v>
      </c>
      <c r="F28" s="20">
        <f>IFERROR(AVERAGEIFS(Dane!$B$2:$B$116,Dane!$A$2:$A$116,$A28),"")</f>
        <v>14000</v>
      </c>
      <c r="G28" s="21">
        <f t="shared" si="2"/>
        <v>0</v>
      </c>
      <c r="H28" s="21">
        <f t="shared" si="3"/>
        <v>14333.33333</v>
      </c>
    </row>
    <row r="29" ht="15.75" customHeight="1">
      <c r="A29" s="11">
        <v>2017.0</v>
      </c>
      <c r="B29" s="15" t="str">
        <f>IFERROR(AVERAGEIFS(Dane!$B$2:$B$116,Dane!$A$2:$A$116,$A29,Dane!$D$2:$D$116,"prasa"),"")</f>
        <v/>
      </c>
      <c r="C29" s="17">
        <f>IFERROR(AVERAGEIFS(Dane!$B$2:$B$116,Dane!$A$2:$A$116,$A29,Dane!$D$2:$D$116,"organizatorzy"),"")</f>
        <v>14000</v>
      </c>
      <c r="D29" s="18" t="str">
        <f>IFERROR(AVERAGEIFS(Dane!$B$2:$B$116,Dane!$A$2:$A$116,$A29,Dane!$D$2:$D$116,"policja"),"")</f>
        <v/>
      </c>
      <c r="E29" s="20">
        <f t="shared" si="1"/>
        <v>14000</v>
      </c>
      <c r="F29" s="20">
        <f>IFERROR(AVERAGEIFS(Dane!$B$2:$B$116,Dane!$A$2:$A$116,$A29),"")</f>
        <v>14000</v>
      </c>
      <c r="G29" s="21">
        <f t="shared" si="2"/>
        <v>0</v>
      </c>
      <c r="H29" s="21">
        <f t="shared" si="3"/>
        <v>12500</v>
      </c>
    </row>
    <row r="30" ht="15.75" customHeight="1">
      <c r="A30" s="11">
        <v>2018.0</v>
      </c>
      <c r="B30" s="15" t="str">
        <f>IFERROR(AVERAGEIFS(Dane!$B$2:$B$116,Dane!$A$2:$A$116,$A30,Dane!$D$2:$D$116,"prasa"),"")</f>
        <v/>
      </c>
      <c r="C30" s="17">
        <f>IFERROR(AVERAGEIFS(Dane!$B$2:$B$116,Dane!$A$2:$A$116,$A30,Dane!$D$2:$D$116,"organizatorzy"),"")</f>
        <v>14000</v>
      </c>
      <c r="D30" s="18">
        <f>IFERROR(AVERAGEIFS(Dane!$B$2:$B$116,Dane!$A$2:$A$116,$A30,Dane!$D$2:$D$116,"policja"),"")</f>
        <v>5000</v>
      </c>
      <c r="E30" s="20">
        <f t="shared" si="1"/>
        <v>9500</v>
      </c>
      <c r="F30" s="20">
        <f>IFERROR(AVERAGEIFS(Dane!$B$2:$B$116,Dane!$A$2:$A$116,$A30),"")</f>
        <v>9500</v>
      </c>
      <c r="G30" s="21">
        <f t="shared" si="2"/>
        <v>0</v>
      </c>
      <c r="H30" s="21">
        <f t="shared" si="3"/>
        <v>12166.66667</v>
      </c>
    </row>
    <row r="31" ht="15.75" customHeight="1">
      <c r="A31" s="11">
        <v>2019.0</v>
      </c>
      <c r="B31" s="15" t="str">
        <f>IFERROR(AVERAGEIFS(Dane!$B$2:$B$116,Dane!$A$2:$A$116,$A31,Dane!$D$2:$D$116,"prasa"),"")</f>
        <v/>
      </c>
      <c r="C31" s="17">
        <f>IFERROR(AVERAGEIFS(Dane!$B$2:$B$116,Dane!$A$2:$A$116,$A31,Dane!$D$2:$D$116,"organizatorzy"),"")</f>
        <v>13000</v>
      </c>
      <c r="D31" s="18" t="str">
        <f>IFERROR(AVERAGEIFS(Dane!$B$2:$B$116,Dane!$A$2:$A$116,$A31,Dane!$D$2:$D$116,"policja"),"")</f>
        <v/>
      </c>
      <c r="E31" s="20">
        <f t="shared" si="1"/>
        <v>13000</v>
      </c>
      <c r="F31" s="20">
        <f>IFERROR(AVERAGEIFS(Dane!$B$2:$B$116,Dane!$A$2:$A$116,$A31),"")</f>
        <v>13000</v>
      </c>
      <c r="G31" s="21">
        <f t="shared" si="2"/>
        <v>0</v>
      </c>
      <c r="H31" s="21">
        <f t="shared" si="3"/>
        <v>7500</v>
      </c>
    </row>
    <row r="32" ht="15.75" customHeight="1">
      <c r="A32" s="1">
        <v>2020.0</v>
      </c>
      <c r="B32" s="15" t="str">
        <f>IFERROR(AVERAGEIFS(Dane!$B$2:$B$116,Dane!$A$2:$A$116,$A32,Dane!$D$2:$D$116,"prasa"),"")</f>
        <v/>
      </c>
      <c r="C32" s="17" t="str">
        <f>IFERROR(AVERAGEIFS(Dane!$B$2:$B$116,Dane!$A$2:$A$116,$A32,Dane!$D$2:$D$116,"organizatorzy"),"")</f>
        <v/>
      </c>
      <c r="D32" s="18" t="str">
        <f>IFERROR(AVERAGEIFS(Dane!$B$2:$B$116,Dane!$A$2:$A$116,$A32,Dane!$D$2:$D$116,"policja"),"")</f>
        <v/>
      </c>
      <c r="E32" s="20" t="str">
        <f t="shared" si="1"/>
        <v/>
      </c>
      <c r="F32" s="20">
        <f>IFERROR(AVERAGEIFS(Dane!$B$2:$B$116,Dane!$A$2:$A$116,$A32),"")</f>
        <v>0</v>
      </c>
      <c r="G32" s="21">
        <f t="shared" si="2"/>
        <v>0</v>
      </c>
      <c r="H32" s="21">
        <f t="shared" si="3"/>
        <v>4433.333333</v>
      </c>
    </row>
    <row r="33" ht="15.75" customHeight="1">
      <c r="A33" s="1">
        <v>2021.0</v>
      </c>
      <c r="B33" s="15" t="str">
        <f>IFERROR(AVERAGEIFS(Dane!$B$2:$B$116,Dane!$A$2:$A$116,$A33,Dane!$D$2:$D$116,"prasa"),"")</f>
        <v/>
      </c>
      <c r="C33" s="17">
        <f>IFERROR(AVERAGEIFS(Dane!$B$2:$B$116,Dane!$A$2:$A$116,$A33,Dane!$D$2:$D$116,"organizatorzy"),"")</f>
        <v>300</v>
      </c>
      <c r="D33" s="18" t="str">
        <f>IFERROR(AVERAGEIFS(Dane!$B$2:$B$116,Dane!$A$2:$A$116,$A33,Dane!$D$2:$D$116,"policja"),"")</f>
        <v/>
      </c>
      <c r="E33" s="20">
        <f t="shared" si="1"/>
        <v>300</v>
      </c>
      <c r="F33" s="20">
        <f>IFERROR(AVERAGEIFS(Dane!$B$2:$B$116,Dane!$A$2:$A$116,$A33),"")</f>
        <v>300</v>
      </c>
      <c r="G33" s="21">
        <f t="shared" si="2"/>
        <v>0</v>
      </c>
      <c r="H33" s="21">
        <f t="shared" si="3"/>
        <v>2933.333333</v>
      </c>
    </row>
    <row r="34" ht="15.75" customHeight="1">
      <c r="A34" s="1">
        <v>2022.0</v>
      </c>
      <c r="B34" s="15">
        <f>IFERROR(AVERAGEIFS(Dane!$B$2:$B$116,Dane!$A$2:$A$116,$A34,Dane!$D$2:$D$116,"prasa"),"")</f>
        <v>7500</v>
      </c>
      <c r="C34" s="17" t="str">
        <f>IFERROR(AVERAGEIFS(Dane!$B$2:$B$116,Dane!$A$2:$A$116,$A34,Dane!$D$2:$D$116,"organizatorzy"),"")</f>
        <v/>
      </c>
      <c r="D34" s="18">
        <f>IFERROR(AVERAGEIFS(Dane!$B$2:$B$116,Dane!$A$2:$A$116,$A34,Dane!$D$2:$D$116,"policja"),"")</f>
        <v>9500</v>
      </c>
      <c r="E34" s="20">
        <f t="shared" si="1"/>
        <v>8166.666667</v>
      </c>
      <c r="F34" s="20">
        <f>IFERROR(AVERAGEIFS(Dane!$B$2:$B$116,Dane!$A$2:$A$116,$A34),"")</f>
        <v>8500</v>
      </c>
      <c r="G34" s="21">
        <f t="shared" si="2"/>
        <v>-333.3333333</v>
      </c>
      <c r="H34" s="21">
        <f t="shared" si="3"/>
        <v>4933.333333</v>
      </c>
    </row>
    <row r="35" ht="15.75" customHeight="1">
      <c r="A35" s="1">
        <v>2023.0</v>
      </c>
      <c r="B35" s="15" t="str">
        <f>IFERROR(AVERAGEIFS(Dane!$B$2:$B$116,Dane!$A$2:$A$116,$A35,Dane!$D$2:$D$116,"prasa"),"")</f>
        <v/>
      </c>
      <c r="C35" s="17" t="str">
        <f>IFERROR(AVERAGEIFS(Dane!$B$2:$B$116,Dane!$A$2:$A$116,$A35,Dane!$D$2:$D$116,"organizatorzy"),"")</f>
        <v/>
      </c>
      <c r="D35" s="18">
        <f>IFERROR(AVERAGEIFS(Dane!$B$2:$B$116,Dane!$A$2:$A$116,$A35,Dane!$D$2:$D$116,"policja"),"")</f>
        <v>6000</v>
      </c>
      <c r="E35" s="20">
        <f t="shared" si="1"/>
        <v>6000</v>
      </c>
      <c r="F35" s="20">
        <f>IFERROR(AVERAGEIFS(Dane!$B$2:$B$116,Dane!$A$2:$A$116,$A35),"")</f>
        <v>6000</v>
      </c>
      <c r="G35" s="21">
        <f t="shared" si="2"/>
        <v>0</v>
      </c>
      <c r="H35" s="21">
        <f t="shared" si="3"/>
        <v>8611.111111</v>
      </c>
    </row>
    <row r="36" ht="15.75" customHeight="1">
      <c r="A36" s="1">
        <v>2024.0</v>
      </c>
      <c r="B36" s="15">
        <f>IFERROR(AVERAGEIFS(Dane!$B$2:$B$116,Dane!$A$2:$A$116,$A36,Dane!$D$2:$D$116,"prasa"),"")</f>
        <v>10000</v>
      </c>
      <c r="C36" s="17" t="str">
        <f>IFERROR(AVERAGEIFS(Dane!$B$2:$B$116,Dane!$A$2:$A$116,$A36,Dane!$D$2:$D$116,"organizatorzy"),"")</f>
        <v/>
      </c>
      <c r="D36" s="18">
        <f>IFERROR(AVERAGEIFS(Dane!$B$2:$B$116,Dane!$A$2:$A$116,$A36,Dane!$D$2:$D$116,"policja"),"")</f>
        <v>14000</v>
      </c>
      <c r="E36" s="20">
        <f t="shared" si="1"/>
        <v>11333.33333</v>
      </c>
      <c r="F36" s="20">
        <f>IFERROR(AVERAGEIFS(Dane!$B$2:$B$116,Dane!$A$2:$A$116,$A36),"")</f>
        <v>11333.33333</v>
      </c>
      <c r="G36" s="21">
        <f t="shared" si="2"/>
        <v>0</v>
      </c>
      <c r="H36" s="21">
        <f t="shared" si="3"/>
        <v>8711.111111</v>
      </c>
    </row>
    <row r="37" ht="15.75" customHeight="1">
      <c r="A37" s="1">
        <v>2025.0</v>
      </c>
      <c r="B37" s="15">
        <f>IFERROR(AVERAGEIFS(Dane!$B$2:$B$116,Dane!$A$2:$A$116,$A37,Dane!$D$2:$D$116,"prasa"),"")</f>
        <v>11000</v>
      </c>
      <c r="C37" s="17" t="str">
        <f>IFERROR(AVERAGEIFS(Dane!$B$2:$B$116,Dane!$A$2:$A$116,$A37,Dane!$D$2:$D$116,"organizatorzy"),"")</f>
        <v/>
      </c>
      <c r="D37" s="18">
        <f>IFERROR(AVERAGEIFS(Dane!$B$2:$B$116,Dane!$A$2:$A$116,$A37,Dane!$D$2:$D$116,"policja"),"")</f>
        <v>6600</v>
      </c>
      <c r="E37" s="20">
        <f t="shared" si="1"/>
        <v>9533.333333</v>
      </c>
      <c r="F37" s="20">
        <f>IFERROR(AVERAGEIFS(Dane!$B$2:$B$116,Dane!$A$2:$A$116,$A37),"")</f>
        <v>8800</v>
      </c>
      <c r="G37" s="21">
        <f t="shared" si="2"/>
        <v>733.3333333</v>
      </c>
      <c r="H37" s="21">
        <f t="shared" si="3"/>
        <v>9894.444444</v>
      </c>
    </row>
    <row r="38" ht="15.75" customHeight="1">
      <c r="A38" s="1">
        <v>2026.0</v>
      </c>
      <c r="B38" s="15" t="str">
        <f>IFERROR(AVERAGEIFS(Dane!$B$2:$B$116,Dane!$A$2:$A$116,$A38,Dane!$D$2:$D$116,"prasa"),"")</f>
        <v/>
      </c>
      <c r="C38" s="17">
        <f>IFERROR(AVERAGEIFS(Dane!$B$2:$B$116,Dane!$A$2:$A$116,$A38,Dane!$D$2:$D$116,"organizatorzy"),"")</f>
        <v>12000</v>
      </c>
      <c r="D38" s="18">
        <f>IFERROR(AVERAGEIFS(Dane!$B$2:$B$116,Dane!$A$2:$A$116,$A38,Dane!$D$2:$D$116,"policja"),"")</f>
        <v>7100</v>
      </c>
      <c r="E38" s="20">
        <f t="shared" si="1"/>
        <v>9550</v>
      </c>
      <c r="F38" s="20">
        <f>IFERROR(AVERAGEIFS(Dane!$B$2:$B$116,Dane!$A$2:$A$116,$A38),"")</f>
        <v>9550</v>
      </c>
      <c r="G38" s="21">
        <f t="shared" si="2"/>
        <v>0</v>
      </c>
    </row>
    <row r="39" ht="15.75" customHeight="1"/>
    <row r="40" ht="15.75" customHeight="1">
      <c r="D40" s="23" t="str">
        <f>IFERROR(__xludf.DUMMYFUNCTION("ARRAYFORMULA(JOIN("", "", IF(F2:F31="""", ""null"", ROUND(F2:F31, 0))))"),"56667, 10000, 23000, 16667, 6000, 7400, 16667, 9500, 13875, 10400, 11167, 16833, 13500, 13500, 18500, 10500, 13500, 10500, 9125, 13500, 9750, 11500, 12625, 9750, 10000, 15000, 14000, 14000, 9500, 13000")</f>
        <v>56667, 10000, 23000, 16667, 6000, 7400, 16667, 9500, 13875, 10400, 11167, 16833, 13500, 13500, 18500, 10500, 13500, 10500, 9125, 13500, 9750, 11500, 12625, 9750, 10000, 15000, 14000, 14000, 9500, 13000</v>
      </c>
    </row>
    <row r="41" ht="15.75" customHeight="1"/>
    <row r="42" ht="15.75" customHeight="1"/>
    <row r="43" ht="15.75" customHeight="1">
      <c r="C43" s="24"/>
    </row>
    <row r="44" ht="15.75" customHeight="1">
      <c r="C44" s="4"/>
    </row>
    <row r="45" ht="15.75" customHeight="1">
      <c r="C45" s="4"/>
    </row>
    <row r="46" ht="15.75" customHeight="1">
      <c r="C46" s="4" t="s">
        <v>124</v>
      </c>
    </row>
    <row r="47" ht="15.75" customHeight="1">
      <c r="C47" s="25" t="s">
        <v>125</v>
      </c>
      <c r="D47" s="25" t="s">
        <v>126</v>
      </c>
      <c r="E47" s="25" t="s">
        <v>127</v>
      </c>
      <c r="F47" s="25" t="s">
        <v>128</v>
      </c>
      <c r="G47" s="25" t="s">
        <v>129</v>
      </c>
      <c r="H47" s="25" t="s">
        <v>130</v>
      </c>
    </row>
    <row r="48" ht="15.75" customHeight="1">
      <c r="C48" s="27">
        <v>32994.0</v>
      </c>
      <c r="D48" s="25" t="s">
        <v>131</v>
      </c>
      <c r="E48" s="25" t="s">
        <v>131</v>
      </c>
      <c r="F48" s="25" t="s">
        <v>132</v>
      </c>
      <c r="G48" s="25">
        <v>216532.0</v>
      </c>
      <c r="H48" s="25">
        <v>73462.0</v>
      </c>
    </row>
    <row r="49" ht="15.75" customHeight="1">
      <c r="C49" s="27">
        <v>33725.0</v>
      </c>
      <c r="D49" s="25" t="s">
        <v>133</v>
      </c>
      <c r="E49" s="25" t="s">
        <v>134</v>
      </c>
      <c r="F49" s="25" t="s">
        <v>135</v>
      </c>
      <c r="G49" s="25">
        <v>218577.0</v>
      </c>
      <c r="H49" s="25">
        <v>77480.0</v>
      </c>
    </row>
    <row r="50" ht="15.75" customHeight="1">
      <c r="C50" s="27">
        <v>34090.0</v>
      </c>
      <c r="D50" s="25" t="s">
        <v>136</v>
      </c>
      <c r="E50" s="25" t="s">
        <v>137</v>
      </c>
      <c r="F50" s="25" t="s">
        <v>138</v>
      </c>
      <c r="G50" s="25">
        <v>120363.0</v>
      </c>
      <c r="H50" s="25">
        <v>80233.0</v>
      </c>
    </row>
    <row r="51" ht="15.75" customHeight="1">
      <c r="C51" s="27">
        <v>34820.0</v>
      </c>
      <c r="D51" s="25" t="s">
        <v>136</v>
      </c>
      <c r="E51" s="25" t="s">
        <v>139</v>
      </c>
      <c r="F51" s="25" t="s">
        <v>140</v>
      </c>
      <c r="G51" s="25">
        <v>122296.0</v>
      </c>
      <c r="H51" s="25">
        <v>86482.0</v>
      </c>
    </row>
    <row r="52" ht="15.75" customHeight="1">
      <c r="C52" s="27">
        <v>35187.0</v>
      </c>
      <c r="D52" s="25" t="s">
        <v>141</v>
      </c>
      <c r="E52" s="25" t="s">
        <v>142</v>
      </c>
      <c r="F52" s="25" t="s">
        <v>143</v>
      </c>
      <c r="G52" s="25">
        <v>123407.0</v>
      </c>
      <c r="H52" s="25">
        <v>89509.0</v>
      </c>
    </row>
    <row r="53" ht="15.75" customHeight="1">
      <c r="C53" s="27">
        <v>36280.0</v>
      </c>
      <c r="D53" s="25" t="s">
        <v>141</v>
      </c>
      <c r="E53" s="25" t="s">
        <v>144</v>
      </c>
      <c r="F53" s="25" t="s">
        <v>145</v>
      </c>
      <c r="G53" s="25">
        <v>126764.0</v>
      </c>
      <c r="H53" s="25">
        <v>99163.0</v>
      </c>
    </row>
    <row r="54" ht="15.75" customHeight="1">
      <c r="C54" s="27">
        <v>36647.0</v>
      </c>
      <c r="D54" s="25" t="s">
        <v>141</v>
      </c>
      <c r="E54" s="25" t="s">
        <v>146</v>
      </c>
      <c r="F54" s="25" t="s">
        <v>147</v>
      </c>
      <c r="G54" s="25">
        <v>128242.0</v>
      </c>
      <c r="H54" s="25">
        <v>102355.0</v>
      </c>
    </row>
    <row r="55" ht="15.75" customHeight="1">
      <c r="C55" s="27">
        <v>36647.0</v>
      </c>
      <c r="D55" s="25" t="s">
        <v>141</v>
      </c>
      <c r="E55" s="25" t="s">
        <v>148</v>
      </c>
      <c r="F55" s="25" t="s">
        <v>149</v>
      </c>
      <c r="G55" s="25">
        <v>128242.0</v>
      </c>
      <c r="H55" s="25">
        <v>102355.0</v>
      </c>
    </row>
    <row r="56" ht="15.75" customHeight="1">
      <c r="C56" s="27">
        <v>36647.0</v>
      </c>
      <c r="D56" s="25" t="s">
        <v>141</v>
      </c>
      <c r="E56" s="25" t="s">
        <v>150</v>
      </c>
      <c r="F56" s="25" t="s">
        <v>151</v>
      </c>
      <c r="G56" s="25">
        <v>128242.0</v>
      </c>
      <c r="H56" s="25">
        <v>102355.0</v>
      </c>
    </row>
    <row r="57" ht="15.75" customHeight="1">
      <c r="C57" s="27">
        <v>37011.0</v>
      </c>
      <c r="D57" s="25" t="s">
        <v>141</v>
      </c>
      <c r="E57" s="25" t="s">
        <v>152</v>
      </c>
      <c r="F57" s="25" t="s">
        <v>153</v>
      </c>
      <c r="G57" s="25">
        <v>129710.0</v>
      </c>
      <c r="H57" s="25">
        <v>105171.0</v>
      </c>
    </row>
    <row r="58" ht="15.75" customHeight="1">
      <c r="C58" s="27">
        <v>37377.0</v>
      </c>
      <c r="D58" s="25" t="s">
        <v>141</v>
      </c>
      <c r="E58" s="25" t="s">
        <v>154</v>
      </c>
      <c r="F58" s="25" t="s">
        <v>155</v>
      </c>
      <c r="G58" s="25">
        <v>131170.0</v>
      </c>
      <c r="H58" s="25">
        <v>108353.0</v>
      </c>
    </row>
    <row r="59" ht="15.75" customHeight="1">
      <c r="C59" s="27">
        <v>37377.0</v>
      </c>
      <c r="D59" s="25" t="s">
        <v>141</v>
      </c>
      <c r="E59" s="25" t="s">
        <v>156</v>
      </c>
      <c r="F59" s="25" t="s">
        <v>157</v>
      </c>
      <c r="G59" s="25">
        <v>131170.0</v>
      </c>
      <c r="H59" s="25">
        <v>108353.0</v>
      </c>
    </row>
    <row r="60" ht="15.75" customHeight="1">
      <c r="C60" s="27">
        <v>37377.0</v>
      </c>
      <c r="D60" s="25" t="s">
        <v>136</v>
      </c>
      <c r="E60" s="25" t="s">
        <v>158</v>
      </c>
      <c r="F60" s="25" t="s">
        <v>159</v>
      </c>
      <c r="G60" s="25">
        <v>131169.0</v>
      </c>
      <c r="H60" s="25">
        <v>108352.0</v>
      </c>
    </row>
    <row r="61" ht="15.75" customHeight="1">
      <c r="C61" s="27">
        <v>37378.0</v>
      </c>
      <c r="D61" s="25" t="s">
        <v>141</v>
      </c>
      <c r="E61" s="25" t="s">
        <v>160</v>
      </c>
      <c r="F61" s="25" t="s">
        <v>145</v>
      </c>
      <c r="G61" s="25">
        <v>131174.0</v>
      </c>
      <c r="H61" s="25">
        <v>108254.0</v>
      </c>
    </row>
    <row r="62" ht="15.75" customHeight="1">
      <c r="C62" s="27">
        <v>37743.0</v>
      </c>
      <c r="D62" s="25" t="s">
        <v>136</v>
      </c>
      <c r="E62" s="25" t="s">
        <v>161</v>
      </c>
      <c r="F62" s="25" t="s">
        <v>162</v>
      </c>
      <c r="G62" s="25">
        <v>132634.0</v>
      </c>
      <c r="H62" s="25">
        <v>111306.0</v>
      </c>
    </row>
    <row r="63" ht="15.75" customHeight="1">
      <c r="C63" s="27">
        <v>39570.0</v>
      </c>
      <c r="D63" s="25" t="s">
        <v>136</v>
      </c>
      <c r="E63" s="25" t="s">
        <v>163</v>
      </c>
      <c r="F63" s="25" t="s">
        <v>164</v>
      </c>
      <c r="G63" s="25">
        <v>2.000144326E9</v>
      </c>
      <c r="H63" s="25" t="s">
        <v>165</v>
      </c>
    </row>
    <row r="64" ht="15.75" customHeight="1">
      <c r="C64" s="27">
        <v>39934.0</v>
      </c>
      <c r="D64" s="25" t="s">
        <v>136</v>
      </c>
      <c r="E64" s="25" t="s">
        <v>166</v>
      </c>
      <c r="F64" s="25" t="s">
        <v>157</v>
      </c>
      <c r="G64" s="25">
        <v>2.000153239E9</v>
      </c>
      <c r="H64" s="25" t="s">
        <v>165</v>
      </c>
    </row>
    <row r="65" ht="15.75" customHeight="1">
      <c r="C65" s="27">
        <v>40299.0</v>
      </c>
      <c r="D65" s="25" t="s">
        <v>136</v>
      </c>
      <c r="E65" s="25" t="s">
        <v>167</v>
      </c>
      <c r="F65" s="25" t="s">
        <v>168</v>
      </c>
      <c r="G65" s="25">
        <v>6.000000133E9</v>
      </c>
      <c r="H65" s="25" t="s">
        <v>165</v>
      </c>
    </row>
    <row r="66" ht="15.75" customHeight="1">
      <c r="C66" s="27">
        <v>40663.0</v>
      </c>
      <c r="D66" s="25" t="s">
        <v>136</v>
      </c>
      <c r="E66" s="25" t="s">
        <v>169</v>
      </c>
      <c r="F66" s="25" t="s">
        <v>170</v>
      </c>
      <c r="G66" s="25">
        <v>6.000044022E9</v>
      </c>
      <c r="H66" s="25" t="s">
        <v>165</v>
      </c>
    </row>
    <row r="67" ht="15.75" customHeight="1">
      <c r="C67" s="27">
        <v>40664.0</v>
      </c>
      <c r="D67" s="25" t="s">
        <v>136</v>
      </c>
      <c r="E67" s="25" t="s">
        <v>171</v>
      </c>
      <c r="F67" s="25" t="s">
        <v>140</v>
      </c>
      <c r="G67" s="25">
        <v>6.000044116E9</v>
      </c>
      <c r="H67" s="25" t="s">
        <v>165</v>
      </c>
    </row>
    <row r="68" ht="15.75" customHeight="1">
      <c r="C68" s="27">
        <v>41031.0</v>
      </c>
      <c r="D68" s="25" t="s">
        <v>136</v>
      </c>
      <c r="E68" s="25" t="s">
        <v>172</v>
      </c>
      <c r="F68" s="25" t="s">
        <v>138</v>
      </c>
      <c r="G68" s="25">
        <v>6.000058048E9</v>
      </c>
      <c r="H68" s="25" t="s">
        <v>165</v>
      </c>
    </row>
    <row r="69" ht="15.75" customHeight="1">
      <c r="C69" s="27">
        <v>41394.0</v>
      </c>
      <c r="D69" s="25" t="s">
        <v>136</v>
      </c>
      <c r="E69" s="25" t="s">
        <v>173</v>
      </c>
      <c r="F69" s="25" t="s">
        <v>174</v>
      </c>
      <c r="G69" s="25">
        <v>6.000072052E9</v>
      </c>
      <c r="H69" s="25" t="s">
        <v>165</v>
      </c>
    </row>
    <row r="70" ht="15.75" customHeight="1">
      <c r="C70" s="27">
        <v>41761.0</v>
      </c>
      <c r="D70" s="25" t="s">
        <v>136</v>
      </c>
      <c r="E70" s="25" t="s">
        <v>175</v>
      </c>
      <c r="F70" s="25" t="s">
        <v>176</v>
      </c>
      <c r="G70" s="25">
        <v>6.000085766E9</v>
      </c>
      <c r="H70" s="25" t="s">
        <v>165</v>
      </c>
    </row>
    <row r="71" ht="15.75" customHeight="1">
      <c r="C71" s="27">
        <v>42126.0</v>
      </c>
      <c r="D71" s="25" t="s">
        <v>136</v>
      </c>
      <c r="E71" s="25" t="s">
        <v>177</v>
      </c>
      <c r="F71" s="25" t="s">
        <v>178</v>
      </c>
      <c r="G71" s="25">
        <v>6.000099157E9</v>
      </c>
      <c r="H71" s="25" t="s">
        <v>165</v>
      </c>
    </row>
    <row r="72" ht="15.75" customHeight="1">
      <c r="C72" s="27">
        <v>42856.0</v>
      </c>
      <c r="D72" s="25" t="s">
        <v>136</v>
      </c>
      <c r="E72" s="25" t="s">
        <v>179</v>
      </c>
      <c r="F72" s="25" t="s">
        <v>180</v>
      </c>
      <c r="G72" s="25">
        <v>6.000123916E9</v>
      </c>
      <c r="H72" s="25" t="s">
        <v>165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>
      <c r="D78" s="1" t="s">
        <v>11</v>
      </c>
      <c r="E78" s="1" t="s">
        <v>21</v>
      </c>
      <c r="F78" s="1" t="s">
        <v>20</v>
      </c>
      <c r="G78" s="1" t="s">
        <v>181</v>
      </c>
      <c r="J78" s="1" t="s">
        <v>182</v>
      </c>
      <c r="K78" s="1" t="s">
        <v>183</v>
      </c>
    </row>
    <row r="79" ht="15.75" customHeight="1">
      <c r="C79" s="1">
        <v>1990.0</v>
      </c>
      <c r="D79" s="21">
        <v>56666.666666666664</v>
      </c>
      <c r="E79" s="28" t="s">
        <v>184</v>
      </c>
      <c r="F79" s="28" t="s">
        <v>184</v>
      </c>
      <c r="G79" s="21">
        <v>56666.666666666664</v>
      </c>
      <c r="J79" s="29">
        <f t="shared" ref="J79:J90" si="4">E79/D79</f>
        <v>0</v>
      </c>
    </row>
    <row r="80" ht="15.75" customHeight="1">
      <c r="C80" s="1">
        <v>1991.0</v>
      </c>
      <c r="D80" s="21">
        <v>7500.0</v>
      </c>
      <c r="E80" s="28">
        <v>15000.0</v>
      </c>
      <c r="F80" s="28" t="s">
        <v>184</v>
      </c>
      <c r="G80" s="21">
        <v>10000.0</v>
      </c>
      <c r="J80" s="29">
        <f t="shared" si="4"/>
        <v>2</v>
      </c>
      <c r="K80" s="23" t="str">
        <f t="shared" ref="K80:K115" si="5">E80/F80</f>
        <v>#DIV/0!</v>
      </c>
    </row>
    <row r="81" ht="15.75" customHeight="1">
      <c r="C81" s="1">
        <v>1992.0</v>
      </c>
      <c r="D81" s="21">
        <v>26250.0</v>
      </c>
      <c r="E81" s="28">
        <v>25000.0</v>
      </c>
      <c r="F81" s="28">
        <v>8000.0</v>
      </c>
      <c r="G81" s="21">
        <v>25600.0</v>
      </c>
      <c r="J81" s="29">
        <f t="shared" si="4"/>
        <v>0.9523809524</v>
      </c>
      <c r="K81" s="23">
        <f t="shared" si="5"/>
        <v>3.125</v>
      </c>
    </row>
    <row r="82" ht="15.75" customHeight="1">
      <c r="C82" s="1">
        <v>1993.0</v>
      </c>
      <c r="D82" s="21">
        <v>10000.0</v>
      </c>
      <c r="E82" s="28">
        <v>30000.0</v>
      </c>
      <c r="F82" s="28" t="s">
        <v>184</v>
      </c>
      <c r="G82" s="21">
        <v>28333.333333333332</v>
      </c>
      <c r="J82" s="29">
        <f t="shared" si="4"/>
        <v>3</v>
      </c>
      <c r="K82" s="23" t="str">
        <f t="shared" si="5"/>
        <v>#DIV/0!</v>
      </c>
    </row>
    <row r="83" ht="15.75" customHeight="1">
      <c r="C83" s="1">
        <v>1994.0</v>
      </c>
      <c r="D83" s="21">
        <v>5000.0</v>
      </c>
      <c r="E83" s="28">
        <v>8000.0</v>
      </c>
      <c r="F83" s="28" t="s">
        <v>184</v>
      </c>
      <c r="G83" s="21">
        <v>6000.0</v>
      </c>
      <c r="J83" s="29">
        <f t="shared" si="4"/>
        <v>1.6</v>
      </c>
      <c r="K83" s="23" t="str">
        <f t="shared" si="5"/>
        <v>#DIV/0!</v>
      </c>
    </row>
    <row r="84" ht="15.75" customHeight="1">
      <c r="C84" s="1">
        <v>1995.0</v>
      </c>
      <c r="D84" s="21">
        <v>6750.0</v>
      </c>
      <c r="E84" s="28">
        <v>10000.0</v>
      </c>
      <c r="F84" s="28" t="s">
        <v>184</v>
      </c>
      <c r="G84" s="21">
        <v>7400.0</v>
      </c>
      <c r="J84" s="29">
        <f t="shared" si="4"/>
        <v>1.481481481</v>
      </c>
      <c r="K84" s="23" t="str">
        <f t="shared" si="5"/>
        <v>#DIV/0!</v>
      </c>
    </row>
    <row r="85" ht="15.75" customHeight="1">
      <c r="C85" s="1">
        <v>1996.0</v>
      </c>
      <c r="D85" s="21">
        <v>16666.666666666668</v>
      </c>
      <c r="E85" s="28" t="s">
        <v>184</v>
      </c>
      <c r="F85" s="28" t="s">
        <v>184</v>
      </c>
      <c r="G85" s="21">
        <v>16666.666666666668</v>
      </c>
      <c r="J85" s="29">
        <f t="shared" si="4"/>
        <v>0</v>
      </c>
      <c r="K85" s="23" t="str">
        <f t="shared" si="5"/>
        <v>#DIV/0!</v>
      </c>
    </row>
    <row r="86" ht="15.75" customHeight="1">
      <c r="C86" s="1">
        <v>1997.0</v>
      </c>
      <c r="D86" s="21">
        <v>5833.333333333333</v>
      </c>
      <c r="E86" s="28">
        <v>25000.0</v>
      </c>
      <c r="F86" s="28">
        <v>5000.0</v>
      </c>
      <c r="G86" s="21">
        <v>9500.0</v>
      </c>
      <c r="J86" s="29">
        <f t="shared" si="4"/>
        <v>4.285714286</v>
      </c>
      <c r="K86" s="23">
        <f t="shared" si="5"/>
        <v>5</v>
      </c>
    </row>
    <row r="87" ht="15.75" customHeight="1">
      <c r="C87" s="1">
        <v>1998.0</v>
      </c>
      <c r="D87" s="21">
        <v>12666.666666666666</v>
      </c>
      <c r="E87" s="28">
        <v>17500.0</v>
      </c>
      <c r="F87" s="28" t="s">
        <v>184</v>
      </c>
      <c r="G87" s="21">
        <v>13875.0</v>
      </c>
      <c r="J87" s="29">
        <f t="shared" si="4"/>
        <v>1.381578947</v>
      </c>
      <c r="K87" s="23" t="str">
        <f t="shared" si="5"/>
        <v>#DIV/0!</v>
      </c>
    </row>
    <row r="88" ht="15.75" customHeight="1">
      <c r="C88" s="1">
        <v>1999.0</v>
      </c>
      <c r="D88" s="21">
        <v>10000.0</v>
      </c>
      <c r="E88" s="28">
        <v>15000.0</v>
      </c>
      <c r="F88" s="28">
        <v>7000.0</v>
      </c>
      <c r="G88" s="21">
        <v>10400.0</v>
      </c>
      <c r="J88" s="29">
        <f t="shared" si="4"/>
        <v>1.5</v>
      </c>
      <c r="K88" s="23">
        <f t="shared" si="5"/>
        <v>2.142857143</v>
      </c>
    </row>
    <row r="89" ht="15.75" customHeight="1">
      <c r="C89" s="1">
        <v>2000.0</v>
      </c>
      <c r="D89" s="21">
        <v>10000.0</v>
      </c>
      <c r="E89" s="28">
        <v>15000.0</v>
      </c>
      <c r="F89" s="28">
        <v>7000.0</v>
      </c>
      <c r="G89" s="21">
        <v>11400.0</v>
      </c>
      <c r="J89" s="29">
        <f t="shared" si="4"/>
        <v>1.5</v>
      </c>
      <c r="K89" s="23">
        <f t="shared" si="5"/>
        <v>2.142857143</v>
      </c>
    </row>
    <row r="90" ht="15.75" customHeight="1">
      <c r="C90" s="1">
        <v>2001.0</v>
      </c>
      <c r="D90" s="21">
        <v>16833.333333333332</v>
      </c>
      <c r="E90" s="28" t="s">
        <v>184</v>
      </c>
      <c r="F90" s="28" t="s">
        <v>184</v>
      </c>
      <c r="G90" s="21">
        <v>16833.333333333332</v>
      </c>
      <c r="J90" s="29">
        <f t="shared" si="4"/>
        <v>0</v>
      </c>
      <c r="K90" s="23" t="str">
        <f t="shared" si="5"/>
        <v>#DIV/0!</v>
      </c>
    </row>
    <row r="91" ht="15.75" customHeight="1">
      <c r="C91" s="1">
        <v>2002.0</v>
      </c>
      <c r="D91" s="21">
        <v>11000.0</v>
      </c>
      <c r="E91" s="28">
        <v>25000.0</v>
      </c>
      <c r="F91" s="28">
        <v>7000.0</v>
      </c>
      <c r="G91" s="21">
        <v>13500.0</v>
      </c>
      <c r="J91" s="29"/>
      <c r="K91" s="23">
        <f t="shared" si="5"/>
        <v>3.571428571</v>
      </c>
    </row>
    <row r="92" ht="15.75" customHeight="1">
      <c r="C92" s="1">
        <v>2003.0</v>
      </c>
      <c r="D92" s="21" t="s">
        <v>184</v>
      </c>
      <c r="E92" s="28">
        <v>20000.0</v>
      </c>
      <c r="F92" s="28">
        <v>7000.0</v>
      </c>
      <c r="G92" s="21">
        <v>13500.0</v>
      </c>
      <c r="J92" s="29"/>
      <c r="K92" s="23">
        <f t="shared" si="5"/>
        <v>2.857142857</v>
      </c>
    </row>
    <row r="93" ht="15.75" customHeight="1">
      <c r="C93" s="1">
        <v>2004.0</v>
      </c>
      <c r="D93" s="21" t="s">
        <v>184</v>
      </c>
      <c r="E93" s="28">
        <v>25000.0</v>
      </c>
      <c r="F93" s="28">
        <v>12000.0</v>
      </c>
      <c r="G93" s="21">
        <v>18500.0</v>
      </c>
      <c r="J93" s="29" t="str">
        <f t="shared" ref="J93:J96" si="6">E93/D93</f>
        <v>#DIV/0!</v>
      </c>
      <c r="K93" s="23">
        <f t="shared" si="5"/>
        <v>2.083333333</v>
      </c>
    </row>
    <row r="94" ht="15.75" customHeight="1">
      <c r="C94" s="1">
        <v>2005.0</v>
      </c>
      <c r="D94" s="21">
        <v>10000.0</v>
      </c>
      <c r="E94" s="28">
        <v>12000.0</v>
      </c>
      <c r="F94" s="28" t="s">
        <v>184</v>
      </c>
      <c r="G94" s="21">
        <v>10500.0</v>
      </c>
      <c r="J94" s="29">
        <f t="shared" si="6"/>
        <v>1.2</v>
      </c>
      <c r="K94" s="23" t="str">
        <f t="shared" si="5"/>
        <v>#DIV/0!</v>
      </c>
    </row>
    <row r="95" ht="15.75" customHeight="1">
      <c r="C95" s="1">
        <v>2006.0</v>
      </c>
      <c r="D95" s="21">
        <v>9000.0</v>
      </c>
      <c r="E95" s="28">
        <v>21000.0</v>
      </c>
      <c r="F95" s="28">
        <v>7500.0</v>
      </c>
      <c r="G95" s="21">
        <v>10625.0</v>
      </c>
      <c r="J95" s="29">
        <f t="shared" si="6"/>
        <v>2.333333333</v>
      </c>
      <c r="K95" s="23">
        <f t="shared" si="5"/>
        <v>2.8</v>
      </c>
    </row>
    <row r="96" ht="15.75" customHeight="1">
      <c r="C96" s="1">
        <v>2007.0</v>
      </c>
      <c r="D96" s="21">
        <v>12000.0</v>
      </c>
      <c r="E96" s="28">
        <v>12000.0</v>
      </c>
      <c r="F96" s="28">
        <v>7500.0</v>
      </c>
      <c r="G96" s="21">
        <v>9750.0</v>
      </c>
      <c r="J96" s="29">
        <f t="shared" si="6"/>
        <v>1</v>
      </c>
      <c r="K96" s="23">
        <f t="shared" si="5"/>
        <v>1.6</v>
      </c>
    </row>
    <row r="97" ht="15.75" customHeight="1">
      <c r="C97" s="1">
        <v>2008.0</v>
      </c>
      <c r="D97" s="21">
        <v>5750.0</v>
      </c>
      <c r="E97" s="28">
        <v>20000.0</v>
      </c>
      <c r="F97" s="28">
        <v>5000.0</v>
      </c>
      <c r="G97" s="21">
        <v>5500.0</v>
      </c>
      <c r="J97" s="29"/>
      <c r="K97" s="23">
        <f t="shared" si="5"/>
        <v>4</v>
      </c>
    </row>
    <row r="98" ht="15.75" customHeight="1">
      <c r="C98" s="1">
        <v>2009.0</v>
      </c>
      <c r="D98" s="21" t="s">
        <v>184</v>
      </c>
      <c r="E98" s="28">
        <v>19000.0</v>
      </c>
      <c r="F98" s="28">
        <v>2500.0</v>
      </c>
      <c r="G98" s="21">
        <v>11250.0</v>
      </c>
      <c r="J98" s="29"/>
      <c r="K98" s="23">
        <f t="shared" si="5"/>
        <v>7.6</v>
      </c>
    </row>
    <row r="99" ht="15.75" customHeight="1">
      <c r="C99" s="1">
        <v>2010.0</v>
      </c>
      <c r="D99" s="21" t="s">
        <v>184</v>
      </c>
      <c r="E99" s="28">
        <v>12000.0</v>
      </c>
      <c r="F99" s="28">
        <v>7500.0</v>
      </c>
      <c r="G99" s="21">
        <v>9750.0</v>
      </c>
      <c r="J99" s="29" t="str">
        <f t="shared" ref="J99:J115" si="7">E99/D99</f>
        <v>#DIV/0!</v>
      </c>
      <c r="K99" s="23">
        <f t="shared" si="5"/>
        <v>1.6</v>
      </c>
    </row>
    <row r="100" ht="15.75" customHeight="1">
      <c r="C100" s="1">
        <v>2011.0</v>
      </c>
      <c r="D100" s="21">
        <v>15000.0</v>
      </c>
      <c r="E100" s="28">
        <v>12500.0</v>
      </c>
      <c r="F100" s="28">
        <v>6000.0</v>
      </c>
      <c r="G100" s="21">
        <v>11500.0</v>
      </c>
      <c r="J100" s="29">
        <f t="shared" si="7"/>
        <v>0.8333333333</v>
      </c>
      <c r="K100" s="23">
        <f t="shared" si="5"/>
        <v>2.083333333</v>
      </c>
    </row>
    <row r="101" ht="15.75" customHeight="1">
      <c r="C101" s="1">
        <v>2012.0</v>
      </c>
      <c r="D101" s="21">
        <v>11833.333333333334</v>
      </c>
      <c r="E101" s="28">
        <v>15000.0</v>
      </c>
      <c r="F101" s="28" t="s">
        <v>184</v>
      </c>
      <c r="G101" s="21">
        <v>12625.0</v>
      </c>
      <c r="J101" s="29">
        <f t="shared" si="7"/>
        <v>1.267605634</v>
      </c>
      <c r="K101" s="23" t="str">
        <f t="shared" si="5"/>
        <v>#DIV/0!</v>
      </c>
    </row>
    <row r="102" ht="15.75" customHeight="1">
      <c r="C102" s="1">
        <v>2013.0</v>
      </c>
      <c r="D102" s="21">
        <v>9750.0</v>
      </c>
      <c r="E102" s="28" t="s">
        <v>184</v>
      </c>
      <c r="F102" s="28" t="s">
        <v>184</v>
      </c>
      <c r="G102" s="21">
        <v>9750.0</v>
      </c>
      <c r="J102" s="29">
        <f t="shared" si="7"/>
        <v>0</v>
      </c>
      <c r="K102" s="23" t="str">
        <f t="shared" si="5"/>
        <v>#DIV/0!</v>
      </c>
    </row>
    <row r="103" ht="15.75" customHeight="1">
      <c r="C103" s="1">
        <v>2014.0</v>
      </c>
      <c r="D103" s="21">
        <v>10000.0</v>
      </c>
      <c r="E103" s="28" t="s">
        <v>184</v>
      </c>
      <c r="F103" s="28">
        <v>6000.0</v>
      </c>
      <c r="G103" s="21">
        <v>10000.0</v>
      </c>
      <c r="J103" s="29">
        <f t="shared" si="7"/>
        <v>0</v>
      </c>
      <c r="K103" s="23">
        <f t="shared" si="5"/>
        <v>0</v>
      </c>
    </row>
    <row r="104" ht="15.75" customHeight="1">
      <c r="C104" s="1">
        <v>2015.0</v>
      </c>
      <c r="D104" s="21" t="s">
        <v>184</v>
      </c>
      <c r="E104" s="28">
        <v>15000.0</v>
      </c>
      <c r="F104" s="28" t="s">
        <v>184</v>
      </c>
      <c r="G104" s="21">
        <v>16333.333333333334</v>
      </c>
      <c r="J104" s="29" t="str">
        <f t="shared" si="7"/>
        <v>#DIV/0!</v>
      </c>
      <c r="K104" s="23" t="str">
        <f t="shared" si="5"/>
        <v>#DIV/0!</v>
      </c>
    </row>
    <row r="105" ht="15.75" customHeight="1">
      <c r="C105" s="1">
        <v>2016.0</v>
      </c>
      <c r="D105" s="21" t="s">
        <v>184</v>
      </c>
      <c r="E105" s="28">
        <v>14000.0</v>
      </c>
      <c r="F105" s="28" t="s">
        <v>184</v>
      </c>
      <c r="G105" s="21">
        <v>14000.0</v>
      </c>
      <c r="J105" s="29" t="str">
        <f t="shared" si="7"/>
        <v>#DIV/0!</v>
      </c>
      <c r="K105" s="23" t="str">
        <f t="shared" si="5"/>
        <v>#DIV/0!</v>
      </c>
    </row>
    <row r="106" ht="15.75" customHeight="1">
      <c r="C106" s="1">
        <v>2017.0</v>
      </c>
      <c r="D106" s="21" t="s">
        <v>184</v>
      </c>
      <c r="E106" s="28">
        <v>14000.0</v>
      </c>
      <c r="F106" s="28" t="s">
        <v>184</v>
      </c>
      <c r="G106" s="21">
        <v>14000.0</v>
      </c>
      <c r="J106" s="29" t="str">
        <f t="shared" si="7"/>
        <v>#DIV/0!</v>
      </c>
      <c r="K106" s="23" t="str">
        <f t="shared" si="5"/>
        <v>#DIV/0!</v>
      </c>
    </row>
    <row r="107" ht="15.75" customHeight="1">
      <c r="C107" s="1">
        <v>2018.0</v>
      </c>
      <c r="D107" s="21" t="s">
        <v>184</v>
      </c>
      <c r="E107" s="28">
        <v>14000.0</v>
      </c>
      <c r="F107" s="28">
        <v>5000.0</v>
      </c>
      <c r="G107" s="21">
        <v>9500.0</v>
      </c>
      <c r="J107" s="29" t="str">
        <f t="shared" si="7"/>
        <v>#DIV/0!</v>
      </c>
      <c r="K107" s="23">
        <f t="shared" si="5"/>
        <v>2.8</v>
      </c>
    </row>
    <row r="108" ht="15.75" customHeight="1">
      <c r="C108" s="1">
        <v>2019.0</v>
      </c>
      <c r="D108" s="21" t="s">
        <v>184</v>
      </c>
      <c r="E108" s="28">
        <v>13000.0</v>
      </c>
      <c r="F108" s="28" t="s">
        <v>184</v>
      </c>
      <c r="G108" s="21">
        <v>13000.0</v>
      </c>
      <c r="J108" s="29" t="str">
        <f t="shared" si="7"/>
        <v>#DIV/0!</v>
      </c>
      <c r="K108" s="23" t="str">
        <f t="shared" si="5"/>
        <v>#DIV/0!</v>
      </c>
    </row>
    <row r="109" ht="15.75" customHeight="1">
      <c r="C109" s="1">
        <v>2020.0</v>
      </c>
      <c r="D109" s="21" t="s">
        <v>184</v>
      </c>
      <c r="E109" s="28" t="s">
        <v>184</v>
      </c>
      <c r="F109" s="28" t="s">
        <v>184</v>
      </c>
      <c r="G109" s="21">
        <v>0.0</v>
      </c>
      <c r="J109" s="29" t="str">
        <f t="shared" si="7"/>
        <v>#DIV/0!</v>
      </c>
      <c r="K109" s="23" t="str">
        <f t="shared" si="5"/>
        <v>#DIV/0!</v>
      </c>
    </row>
    <row r="110" ht="15.75" customHeight="1">
      <c r="C110" s="1">
        <v>2021.0</v>
      </c>
      <c r="D110" s="21" t="s">
        <v>184</v>
      </c>
      <c r="E110" s="28">
        <v>300.0</v>
      </c>
      <c r="F110" s="28" t="s">
        <v>184</v>
      </c>
      <c r="G110" s="21">
        <v>300.0</v>
      </c>
      <c r="J110" s="29" t="str">
        <f t="shared" si="7"/>
        <v>#DIV/0!</v>
      </c>
      <c r="K110" s="23" t="str">
        <f t="shared" si="5"/>
        <v>#DIV/0!</v>
      </c>
    </row>
    <row r="111" ht="15.75" customHeight="1">
      <c r="C111" s="1">
        <v>2022.0</v>
      </c>
      <c r="D111" s="21">
        <v>7500.0</v>
      </c>
      <c r="E111" s="28" t="s">
        <v>184</v>
      </c>
      <c r="F111" s="28">
        <v>9500.0</v>
      </c>
      <c r="G111" s="21">
        <v>8500.0</v>
      </c>
      <c r="J111" s="29">
        <f t="shared" si="7"/>
        <v>0</v>
      </c>
      <c r="K111" s="23">
        <f t="shared" si="5"/>
        <v>0</v>
      </c>
    </row>
    <row r="112" ht="15.75" customHeight="1">
      <c r="C112" s="1">
        <v>2023.0</v>
      </c>
      <c r="D112" s="21" t="s">
        <v>184</v>
      </c>
      <c r="E112" s="28" t="s">
        <v>184</v>
      </c>
      <c r="F112" s="28">
        <v>6000.0</v>
      </c>
      <c r="G112" s="21">
        <v>6000.0</v>
      </c>
      <c r="J112" s="29" t="str">
        <f t="shared" si="7"/>
        <v>#DIV/0!</v>
      </c>
      <c r="K112" s="23">
        <f t="shared" si="5"/>
        <v>0</v>
      </c>
    </row>
    <row r="113" ht="15.75" customHeight="1">
      <c r="C113" s="1">
        <v>2024.0</v>
      </c>
      <c r="D113" s="21">
        <v>10000.0</v>
      </c>
      <c r="E113" s="28" t="s">
        <v>184</v>
      </c>
      <c r="F113" s="28">
        <v>14000.0</v>
      </c>
      <c r="G113" s="21">
        <v>11333.333333333334</v>
      </c>
      <c r="J113" s="29">
        <f t="shared" si="7"/>
        <v>0</v>
      </c>
      <c r="K113" s="23">
        <f t="shared" si="5"/>
        <v>0</v>
      </c>
    </row>
    <row r="114" ht="15.75" customHeight="1">
      <c r="C114" s="1">
        <v>2025.0</v>
      </c>
      <c r="D114" s="21">
        <v>11000.0</v>
      </c>
      <c r="E114" s="28" t="s">
        <v>184</v>
      </c>
      <c r="F114" s="28">
        <v>6600.0</v>
      </c>
      <c r="G114" s="21">
        <v>8800.0</v>
      </c>
      <c r="J114" s="29">
        <f t="shared" si="7"/>
        <v>0</v>
      </c>
      <c r="K114" s="23">
        <f t="shared" si="5"/>
        <v>0</v>
      </c>
    </row>
    <row r="115" ht="15.75" customHeight="1">
      <c r="C115" s="1">
        <v>2026.0</v>
      </c>
      <c r="D115" s="21" t="s">
        <v>184</v>
      </c>
      <c r="E115" s="28">
        <v>12000.0</v>
      </c>
      <c r="F115" s="28">
        <v>7100.0</v>
      </c>
      <c r="G115" s="21">
        <v>9550.0</v>
      </c>
      <c r="J115" s="29" t="str">
        <f t="shared" si="7"/>
        <v>#DIV/0!</v>
      </c>
      <c r="K115" s="23">
        <f t="shared" si="5"/>
        <v>1.690140845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H3:H3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0"/>
    <col customWidth="1" min="3" max="3" width="8.57"/>
    <col customWidth="1" min="4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  <c r="H1" s="1" t="s">
        <v>18</v>
      </c>
    </row>
    <row r="2">
      <c r="A2" s="11">
        <v>1990.0</v>
      </c>
      <c r="B2" s="15">
        <f>IFERROR(AVERAGEIFS(Dane!$B$2:$B$116,Dane!$A$2:$A$116,$A2,Dane!$D$2:$D$116,"prasa"),"")</f>
        <v>56666.66667</v>
      </c>
      <c r="C2" s="17" t="str">
        <f>IFERROR(AVERAGEIFS(Dane!$B$2:$B$116,Dane!$A$2:$A$116,$A2,Dane!$D$2:$D$116,"organizatorzy"),"")</f>
        <v/>
      </c>
      <c r="D2" s="18" t="str">
        <f>IFERROR(AVERAGEIFS(Dane!$B$2:$B$116,Dane!$A$2:$A$116,$A2,Dane!$D$2:$D$116,"policja"),"")</f>
        <v/>
      </c>
      <c r="E2" s="20">
        <f t="shared" ref="E2:E38" si="1">IFERROR((0.5*IF(B2&lt;&gt;"",B2,0) + 0.25*IF(C2&lt;&gt;"",C2,0) + 0.25*IF(D2&lt;&gt;"",D2,0))/(0.5*IF(B2&lt;&gt;"",1,0) + 0.25*IF(C2&lt;&gt;"",1,0) + 0.25*IF(D2&lt;&gt;"",1,0)),"")</f>
        <v>56666.66667</v>
      </c>
      <c r="F2" s="20">
        <f>IFERROR(AVERAGEIFS(Dane!$B$2:$B$116,Dane!$A$2:$A$116,$A2),"")</f>
        <v>56666.66667</v>
      </c>
      <c r="G2" s="21">
        <f t="shared" ref="G2:G38" si="2">E2-F2</f>
        <v>0</v>
      </c>
    </row>
    <row r="3">
      <c r="A3" s="11">
        <v>1991.0</v>
      </c>
      <c r="B3" s="15">
        <f>IFERROR(AVERAGEIFS(Dane!$B$2:$B$116,Dane!$A$2:$A$116,$A3,Dane!$D$2:$D$116,"prasa"),"")</f>
        <v>7500</v>
      </c>
      <c r="C3" s="17">
        <f>IFERROR(AVERAGEIFS(Dane!$B$2:$B$116,Dane!$A$2:$A$116,$A3,Dane!$D$2:$D$116,"organizatorzy"),"")</f>
        <v>15000</v>
      </c>
      <c r="D3" s="18" t="str">
        <f>IFERROR(AVERAGEIFS(Dane!$B$2:$B$116,Dane!$A$2:$A$116,$A3,Dane!$D$2:$D$116,"policja"),"")</f>
        <v/>
      </c>
      <c r="E3" s="20">
        <f t="shared" si="1"/>
        <v>10000</v>
      </c>
      <c r="F3" s="20">
        <f>IFERROR(AVERAGEIFS(Dane!$B$2:$B$116,Dane!$A$2:$A$116,$A3),"")</f>
        <v>10000</v>
      </c>
      <c r="G3" s="21">
        <f t="shared" si="2"/>
        <v>0</v>
      </c>
      <c r="H3" s="21">
        <f t="shared" ref="H3:H37" si="3">AVERAGE(F2:F4)</f>
        <v>29888.88889</v>
      </c>
    </row>
    <row r="4">
      <c r="A4" s="11">
        <v>1992.0</v>
      </c>
      <c r="B4" s="15">
        <f>IFERROR(AVERAGEIFS(Dane!$B$2:$B$116,Dane!$A$2:$A$116,$A4,Dane!$D$2:$D$116,"prasa"),"")</f>
        <v>26250</v>
      </c>
      <c r="C4" s="17">
        <f>IFERROR(AVERAGEIFS(Dane!$B$2:$B$116,Dane!$A$2:$A$116,$A4,Dane!$D$2:$D$116,"organizatorzy"),"")</f>
        <v>25000</v>
      </c>
      <c r="D4" s="18">
        <f>IFERROR(AVERAGEIFS(Dane!$B$2:$B$116,Dane!$A$2:$A$116,$A4,Dane!$D$2:$D$116,"policja"),"")</f>
        <v>8000</v>
      </c>
      <c r="E4" s="20">
        <f t="shared" si="1"/>
        <v>21375</v>
      </c>
      <c r="F4" s="20">
        <f>IFERROR(AVERAGEIFS(Dane!$B$2:$B$116,Dane!$A$2:$A$116,$A4),"")</f>
        <v>23000</v>
      </c>
      <c r="G4" s="21">
        <f t="shared" si="2"/>
        <v>-1625</v>
      </c>
      <c r="H4" s="21">
        <f t="shared" si="3"/>
        <v>16555.55556</v>
      </c>
    </row>
    <row r="5">
      <c r="A5" s="11">
        <v>1993.0</v>
      </c>
      <c r="B5" s="15">
        <f>IFERROR(AVERAGEIFS(Dane!$B$2:$B$116,Dane!$A$2:$A$116,$A5,Dane!$D$2:$D$116,"prasa"),"")</f>
        <v>10000</v>
      </c>
      <c r="C5" s="17">
        <f>IFERROR(AVERAGEIFS(Dane!$B$2:$B$116,Dane!$A$2:$A$116,$A5,Dane!$D$2:$D$116,"organizatorzy"),"")</f>
        <v>30000</v>
      </c>
      <c r="D5" s="18" t="str">
        <f>IFERROR(AVERAGEIFS(Dane!$B$2:$B$116,Dane!$A$2:$A$116,$A5,Dane!$D$2:$D$116,"policja"),"")</f>
        <v/>
      </c>
      <c r="E5" s="20">
        <f t="shared" si="1"/>
        <v>16666.66667</v>
      </c>
      <c r="F5" s="20">
        <f>IFERROR(AVERAGEIFS(Dane!$B$2:$B$116,Dane!$A$2:$A$116,$A5),"")</f>
        <v>16666.66667</v>
      </c>
      <c r="G5" s="21">
        <f t="shared" si="2"/>
        <v>0</v>
      </c>
      <c r="H5" s="21">
        <f t="shared" si="3"/>
        <v>15222.22222</v>
      </c>
    </row>
    <row r="6">
      <c r="A6" s="11">
        <v>1994.0</v>
      </c>
      <c r="B6" s="15">
        <f>IFERROR(AVERAGEIFS(Dane!$B$2:$B$116,Dane!$A$2:$A$116,$A6,Dane!$D$2:$D$116,"prasa"),"")</f>
        <v>5000</v>
      </c>
      <c r="C6" s="17">
        <f>IFERROR(AVERAGEIFS(Dane!$B$2:$B$116,Dane!$A$2:$A$116,$A6,Dane!$D$2:$D$116,"organizatorzy"),"")</f>
        <v>8000</v>
      </c>
      <c r="D6" s="18" t="str">
        <f>IFERROR(AVERAGEIFS(Dane!$B$2:$B$116,Dane!$A$2:$A$116,$A6,Dane!$D$2:$D$116,"policja"),"")</f>
        <v/>
      </c>
      <c r="E6" s="20">
        <f t="shared" si="1"/>
        <v>6000</v>
      </c>
      <c r="F6" s="20">
        <f>IFERROR(AVERAGEIFS(Dane!$B$2:$B$116,Dane!$A$2:$A$116,$A6),"")</f>
        <v>6000</v>
      </c>
      <c r="G6" s="21">
        <f t="shared" si="2"/>
        <v>0</v>
      </c>
      <c r="H6" s="21">
        <f t="shared" si="3"/>
        <v>10022.22222</v>
      </c>
    </row>
    <row r="7">
      <c r="A7" s="11">
        <v>1995.0</v>
      </c>
      <c r="B7" s="15">
        <f>IFERROR(AVERAGEIFS(Dane!$B$2:$B$116,Dane!$A$2:$A$116,$A7,Dane!$D$2:$D$116,"prasa"),"")</f>
        <v>6750</v>
      </c>
      <c r="C7" s="17">
        <f>IFERROR(AVERAGEIFS(Dane!$B$2:$B$116,Dane!$A$2:$A$116,$A7,Dane!$D$2:$D$116,"organizatorzy"),"")</f>
        <v>10000</v>
      </c>
      <c r="D7" s="18" t="str">
        <f>IFERROR(AVERAGEIFS(Dane!$B$2:$B$116,Dane!$A$2:$A$116,$A7,Dane!$D$2:$D$116,"policja"),"")</f>
        <v/>
      </c>
      <c r="E7" s="20">
        <f t="shared" si="1"/>
        <v>7833.333333</v>
      </c>
      <c r="F7" s="20">
        <f>IFERROR(AVERAGEIFS(Dane!$B$2:$B$116,Dane!$A$2:$A$116,$A7),"")</f>
        <v>7400</v>
      </c>
      <c r="G7" s="21">
        <f t="shared" si="2"/>
        <v>433.3333333</v>
      </c>
      <c r="H7" s="21">
        <f t="shared" si="3"/>
        <v>10022.22222</v>
      </c>
    </row>
    <row r="8">
      <c r="A8" s="11">
        <v>1996.0</v>
      </c>
      <c r="B8" s="15">
        <f>IFERROR(AVERAGEIFS(Dane!$B$2:$B$116,Dane!$A$2:$A$116,$A8,Dane!$D$2:$D$116,"prasa"),"")</f>
        <v>16666.66667</v>
      </c>
      <c r="C8" s="17">
        <f>AVERAGE(C7,C9)</f>
        <v>17500</v>
      </c>
      <c r="D8" s="18" t="str">
        <f>IFERROR(AVERAGEIFS(Dane!$B$2:$B$116,Dane!$A$2:$A$116,$A8,Dane!$D$2:$D$116,"policja"),"")</f>
        <v/>
      </c>
      <c r="E8" s="20">
        <f t="shared" si="1"/>
        <v>16944.44444</v>
      </c>
      <c r="F8" s="20">
        <f>IFERROR(AVERAGEIFS(Dane!$B$2:$B$116,Dane!$A$2:$A$116,$A8),"")</f>
        <v>16666.66667</v>
      </c>
      <c r="G8" s="21">
        <f t="shared" si="2"/>
        <v>277.7777778</v>
      </c>
      <c r="H8" s="21">
        <f t="shared" si="3"/>
        <v>11188.88889</v>
      </c>
    </row>
    <row r="9">
      <c r="A9" s="11">
        <v>1997.0</v>
      </c>
      <c r="B9" s="15">
        <f>IFERROR(AVERAGEIFS(Dane!$B$2:$B$116,Dane!$A$2:$A$116,$A9,Dane!$D$2:$D$116,"prasa"),"")</f>
        <v>5833.333333</v>
      </c>
      <c r="C9" s="17">
        <f>IFERROR(AVERAGEIFS(Dane!$B$2:$B$116,Dane!$A$2:$A$116,$A9,Dane!$D$2:$D$116,"organizatorzy"),"")</f>
        <v>25000</v>
      </c>
      <c r="D9" s="18">
        <f>IFERROR(AVERAGEIFS(Dane!$B$2:$B$116,Dane!$A$2:$A$116,$A9,Dane!$D$2:$D$116,"policja"),"")</f>
        <v>5000</v>
      </c>
      <c r="E9" s="20">
        <f t="shared" si="1"/>
        <v>10416.66667</v>
      </c>
      <c r="F9" s="20">
        <f>IFERROR(AVERAGEIFS(Dane!$B$2:$B$116,Dane!$A$2:$A$116,$A9),"")</f>
        <v>9500</v>
      </c>
      <c r="G9" s="21">
        <f t="shared" si="2"/>
        <v>916.6666667</v>
      </c>
      <c r="H9" s="21">
        <f t="shared" si="3"/>
        <v>13347.22222</v>
      </c>
    </row>
    <row r="10">
      <c r="A10" s="11">
        <v>1998.0</v>
      </c>
      <c r="B10" s="15">
        <f>IFERROR(AVERAGEIFS(Dane!$B$2:$B$116,Dane!$A$2:$A$116,$A10,Dane!$D$2:$D$116,"prasa"),"")</f>
        <v>12666.66667</v>
      </c>
      <c r="C10" s="17">
        <f>IFERROR(AVERAGEIFS(Dane!$B$2:$B$116,Dane!$A$2:$A$116,$A10,Dane!$D$2:$D$116,"organizatorzy"),"")</f>
        <v>17500</v>
      </c>
      <c r="D10" s="18" t="str">
        <f>IFERROR(AVERAGEIFS(Dane!$B$2:$B$116,Dane!$A$2:$A$116,$A10,Dane!$D$2:$D$116,"policja"),"")</f>
        <v/>
      </c>
      <c r="E10" s="20">
        <f t="shared" si="1"/>
        <v>14277.77778</v>
      </c>
      <c r="F10" s="20">
        <f>IFERROR(AVERAGEIFS(Dane!$B$2:$B$116,Dane!$A$2:$A$116,$A10),"")</f>
        <v>13875</v>
      </c>
      <c r="G10" s="21">
        <f t="shared" si="2"/>
        <v>402.7777778</v>
      </c>
      <c r="H10" s="21">
        <f t="shared" si="3"/>
        <v>11258.33333</v>
      </c>
    </row>
    <row r="11">
      <c r="A11" s="11">
        <v>1999.0</v>
      </c>
      <c r="B11" s="15">
        <f>IFERROR(AVERAGEIFS(Dane!$B$2:$B$116,Dane!$A$2:$A$116,$A11,Dane!$D$2:$D$116,"prasa"),"")</f>
        <v>10000</v>
      </c>
      <c r="C11" s="17">
        <f>IFERROR(AVERAGEIFS(Dane!$B$2:$B$116,Dane!$A$2:$A$116,$A11,Dane!$D$2:$D$116,"organizatorzy"),"")</f>
        <v>15000</v>
      </c>
      <c r="D11" s="18">
        <f>IFERROR(AVERAGEIFS(Dane!$B$2:$B$116,Dane!$A$2:$A$116,$A11,Dane!$D$2:$D$116,"policja"),"")</f>
        <v>7000</v>
      </c>
      <c r="E11" s="20">
        <f t="shared" si="1"/>
        <v>10500</v>
      </c>
      <c r="F11" s="20">
        <f>IFERROR(AVERAGEIFS(Dane!$B$2:$B$116,Dane!$A$2:$A$116,$A11),"")</f>
        <v>10400</v>
      </c>
      <c r="G11" s="21">
        <f t="shared" si="2"/>
        <v>100</v>
      </c>
      <c r="H11" s="21">
        <f t="shared" si="3"/>
        <v>11813.88889</v>
      </c>
    </row>
    <row r="12">
      <c r="A12" s="11">
        <v>2000.0</v>
      </c>
      <c r="B12" s="15">
        <f>IFERROR(AVERAGEIFS(Dane!$B$2:$B$116,Dane!$A$2:$A$116,$A12,Dane!$D$2:$D$116,"prasa"),"")</f>
        <v>10000</v>
      </c>
      <c r="C12" s="17">
        <f>IFERROR(AVERAGEIFS(Dane!$B$2:$B$116,Dane!$A$2:$A$116,$A12,Dane!$D$2:$D$116,"organizatorzy"),"")</f>
        <v>15000</v>
      </c>
      <c r="D12" s="18">
        <f>IFERROR(AVERAGEIFS(Dane!$B$2:$B$116,Dane!$A$2:$A$116,$A12,Dane!$D$2:$D$116,"policja"),"")</f>
        <v>7000</v>
      </c>
      <c r="E12" s="20">
        <f t="shared" si="1"/>
        <v>10500</v>
      </c>
      <c r="F12" s="20">
        <f>IFERROR(AVERAGEIFS(Dane!$B$2:$B$116,Dane!$A$2:$A$116,$A12),"")</f>
        <v>11166.66667</v>
      </c>
      <c r="G12" s="21">
        <f t="shared" si="2"/>
        <v>-666.6666667</v>
      </c>
      <c r="H12" s="21">
        <f t="shared" si="3"/>
        <v>12800</v>
      </c>
    </row>
    <row r="13">
      <c r="A13" s="11">
        <v>2001.0</v>
      </c>
      <c r="B13" s="15">
        <f>IFERROR(AVERAGEIFS(Dane!$B$2:$B$116,Dane!$A$2:$A$116,$A13,Dane!$D$2:$D$116,"prasa"),"")</f>
        <v>16833.33333</v>
      </c>
      <c r="C13" s="17">
        <f>AVERAGE(C12,C14)</f>
        <v>20000</v>
      </c>
      <c r="D13" s="18" t="str">
        <f>IFERROR(AVERAGEIFS(Dane!$B$2:$B$116,Dane!$A$2:$A$116,$A13,Dane!$D$2:$D$116,"policja"),"")</f>
        <v/>
      </c>
      <c r="E13" s="20">
        <f t="shared" si="1"/>
        <v>17888.88889</v>
      </c>
      <c r="F13" s="20">
        <f>IFERROR(AVERAGEIFS(Dane!$B$2:$B$116,Dane!$A$2:$A$116,$A13),"")</f>
        <v>16833.33333</v>
      </c>
      <c r="G13" s="21">
        <f t="shared" si="2"/>
        <v>1055.555556</v>
      </c>
      <c r="H13" s="21">
        <f t="shared" si="3"/>
        <v>13833.33333</v>
      </c>
    </row>
    <row r="14">
      <c r="A14" s="11">
        <v>2002.0</v>
      </c>
      <c r="B14" s="15">
        <f>IFERROR(AVERAGEIFS(Dane!$B$2:$B$116,Dane!$A$2:$A$116,$A14,Dane!$D$2:$D$116,"prasa"),"")</f>
        <v>11000</v>
      </c>
      <c r="C14" s="17">
        <f>IFERROR(AVERAGEIFS(Dane!$B$2:$B$116,Dane!$A$2:$A$116,$A14,Dane!$D$2:$D$116,"organizatorzy"),"")</f>
        <v>25000</v>
      </c>
      <c r="D14" s="18">
        <f>IFERROR(AVERAGEIFS(Dane!$B$2:$B$116,Dane!$A$2:$A$116,$A14,Dane!$D$2:$D$116,"policja"),"")</f>
        <v>7000</v>
      </c>
      <c r="E14" s="20">
        <f t="shared" si="1"/>
        <v>13500</v>
      </c>
      <c r="F14" s="20">
        <f>IFERROR(AVERAGEIFS(Dane!$B$2:$B$116,Dane!$A$2:$A$116,$A14),"")</f>
        <v>13500</v>
      </c>
      <c r="G14" s="21">
        <f t="shared" si="2"/>
        <v>0</v>
      </c>
      <c r="H14" s="21">
        <f t="shared" si="3"/>
        <v>14611.11111</v>
      </c>
    </row>
    <row r="15">
      <c r="A15" s="11">
        <v>2003.0</v>
      </c>
      <c r="B15" s="15" t="str">
        <f>IFERROR(AVERAGEIFS(Dane!$B$2:$B$116,Dane!$A$2:$A$116,$A15,Dane!$D$2:$D$116,"prasa"),"")</f>
        <v/>
      </c>
      <c r="C15" s="17">
        <f>IFERROR(AVERAGEIFS(Dane!$B$2:$B$116,Dane!$A$2:$A$116,$A15,Dane!$D$2:$D$116,"organizatorzy"),"")</f>
        <v>20000</v>
      </c>
      <c r="D15" s="18">
        <f>IFERROR(AVERAGEIFS(Dane!$B$2:$B$116,Dane!$A$2:$A$116,$A15,Dane!$D$2:$D$116,"policja"),"")</f>
        <v>7000</v>
      </c>
      <c r="E15" s="20">
        <f t="shared" si="1"/>
        <v>13500</v>
      </c>
      <c r="F15" s="20">
        <f>IFERROR(AVERAGEIFS(Dane!$B$2:$B$116,Dane!$A$2:$A$116,$A15),"")</f>
        <v>13500</v>
      </c>
      <c r="G15" s="21">
        <f t="shared" si="2"/>
        <v>0</v>
      </c>
      <c r="H15" s="21">
        <f t="shared" si="3"/>
        <v>15166.66667</v>
      </c>
    </row>
    <row r="16">
      <c r="A16" s="11">
        <v>2004.0</v>
      </c>
      <c r="B16" s="15" t="str">
        <f>IFERROR(AVERAGEIFS(Dane!$B$2:$B$116,Dane!$A$2:$A$116,$A16,Dane!$D$2:$D$116,"prasa"),"")</f>
        <v/>
      </c>
      <c r="C16" s="17">
        <f>IFERROR(AVERAGEIFS(Dane!$B$2:$B$116,Dane!$A$2:$A$116,$A16,Dane!$D$2:$D$116,"organizatorzy"),"")</f>
        <v>25000</v>
      </c>
      <c r="D16" s="18">
        <f>IFERROR(AVERAGEIFS(Dane!$B$2:$B$116,Dane!$A$2:$A$116,$A16,Dane!$D$2:$D$116,"policja"),"")</f>
        <v>12000</v>
      </c>
      <c r="E16" s="20">
        <f t="shared" si="1"/>
        <v>18500</v>
      </c>
      <c r="F16" s="20">
        <f>IFERROR(AVERAGEIFS(Dane!$B$2:$B$116,Dane!$A$2:$A$116,$A16),"")</f>
        <v>18500</v>
      </c>
      <c r="G16" s="21">
        <f t="shared" si="2"/>
        <v>0</v>
      </c>
      <c r="H16" s="21">
        <f t="shared" si="3"/>
        <v>14166.66667</v>
      </c>
    </row>
    <row r="17">
      <c r="A17" s="11">
        <v>2005.0</v>
      </c>
      <c r="B17" s="15">
        <f>IFERROR(AVERAGEIFS(Dane!$B$2:$B$116,Dane!$A$2:$A$116,$A17,Dane!$D$2:$D$116,"prasa"),"")</f>
        <v>10000</v>
      </c>
      <c r="C17" s="17">
        <f>IFERROR(AVERAGEIFS(Dane!$B$2:$B$116,Dane!$A$2:$A$116,$A17,Dane!$D$2:$D$116,"organizatorzy"),"")</f>
        <v>12000</v>
      </c>
      <c r="D17" s="18" t="str">
        <f>IFERROR(AVERAGEIFS(Dane!$B$2:$B$116,Dane!$A$2:$A$116,$A17,Dane!$D$2:$D$116,"policja"),"")</f>
        <v/>
      </c>
      <c r="E17" s="20">
        <f t="shared" si="1"/>
        <v>10666.66667</v>
      </c>
      <c r="F17" s="20">
        <f>IFERROR(AVERAGEIFS(Dane!$B$2:$B$116,Dane!$A$2:$A$116,$A17),"")</f>
        <v>10500</v>
      </c>
      <c r="G17" s="21">
        <f t="shared" si="2"/>
        <v>166.6666667</v>
      </c>
      <c r="H17" s="21">
        <f t="shared" si="3"/>
        <v>14166.66667</v>
      </c>
    </row>
    <row r="18">
      <c r="A18" s="11">
        <v>2006.0</v>
      </c>
      <c r="B18" s="15">
        <f>IFERROR(AVERAGEIFS(Dane!$B$2:$B$116,Dane!$A$2:$A$116,$A18,Dane!$D$2:$D$116,"prasa"),"")</f>
        <v>9000</v>
      </c>
      <c r="C18" s="17">
        <f>IFERROR(AVERAGEIFS(Dane!$B$2:$B$116,Dane!$A$2:$A$116,$A18,Dane!$D$2:$D$116,"organizatorzy"),"")</f>
        <v>21000</v>
      </c>
      <c r="D18" s="18">
        <f>IFERROR(AVERAGEIFS(Dane!$B$2:$B$116,Dane!$A$2:$A$116,$A18,Dane!$D$2:$D$116,"policja"),"")</f>
        <v>7500</v>
      </c>
      <c r="E18" s="20">
        <f t="shared" si="1"/>
        <v>11625</v>
      </c>
      <c r="F18" s="20">
        <f>IFERROR(AVERAGEIFS(Dane!$B$2:$B$116,Dane!$A$2:$A$116,$A18),"")</f>
        <v>13500</v>
      </c>
      <c r="G18" s="21">
        <f t="shared" si="2"/>
        <v>-1875</v>
      </c>
      <c r="H18" s="21">
        <f t="shared" si="3"/>
        <v>11500</v>
      </c>
    </row>
    <row r="19">
      <c r="A19" s="11">
        <v>2007.0</v>
      </c>
      <c r="B19" s="15">
        <f>IFERROR(AVERAGEIFS(Dane!$B$2:$B$116,Dane!$A$2:$A$116,$A19,Dane!$D$2:$D$116,"prasa"),"")</f>
        <v>12000</v>
      </c>
      <c r="C19" s="17">
        <f>IFERROR(AVERAGEIFS(Dane!$B$2:$B$116,Dane!$A$2:$A$116,$A19,Dane!$D$2:$D$116,"organizatorzy"),"")</f>
        <v>12000</v>
      </c>
      <c r="D19" s="18">
        <f>IFERROR(AVERAGEIFS(Dane!$B$2:$B$116,Dane!$A$2:$A$116,$A19,Dane!$D$2:$D$116,"policja"),"")</f>
        <v>7500</v>
      </c>
      <c r="E19" s="20">
        <f t="shared" si="1"/>
        <v>10875</v>
      </c>
      <c r="F19" s="20">
        <f>IFERROR(AVERAGEIFS(Dane!$B$2:$B$116,Dane!$A$2:$A$116,$A19),"")</f>
        <v>10500</v>
      </c>
      <c r="G19" s="21">
        <f t="shared" si="2"/>
        <v>375</v>
      </c>
      <c r="H19" s="21">
        <f t="shared" si="3"/>
        <v>11041.66667</v>
      </c>
    </row>
    <row r="20">
      <c r="A20" s="11">
        <v>2008.0</v>
      </c>
      <c r="B20" s="15">
        <f>IFERROR(AVERAGEIFS(Dane!$B$2:$B$116,Dane!$A$2:$A$116,$A20,Dane!$D$2:$D$116,"prasa"),"")</f>
        <v>5750</v>
      </c>
      <c r="C20" s="17">
        <f>IFERROR(AVERAGEIFS(Dane!$B$2:$B$116,Dane!$A$2:$A$116,$A20,Dane!$D$2:$D$116,"organizatorzy"),"")</f>
        <v>20000</v>
      </c>
      <c r="D20" s="18">
        <f>IFERROR(AVERAGEIFS(Dane!$B$2:$B$116,Dane!$A$2:$A$116,$A20,Dane!$D$2:$D$116,"policja"),"")</f>
        <v>5000</v>
      </c>
      <c r="E20" s="20">
        <f t="shared" si="1"/>
        <v>9125</v>
      </c>
      <c r="F20" s="20">
        <f>IFERROR(AVERAGEIFS(Dane!$B$2:$B$116,Dane!$A$2:$A$116,$A20),"")</f>
        <v>9125</v>
      </c>
      <c r="G20" s="21">
        <f t="shared" si="2"/>
        <v>0</v>
      </c>
      <c r="H20" s="21">
        <f t="shared" si="3"/>
        <v>11041.66667</v>
      </c>
    </row>
    <row r="21" ht="15.75" customHeight="1">
      <c r="A21" s="11">
        <v>2009.0</v>
      </c>
      <c r="B21" s="15" t="str">
        <f>IFERROR(AVERAGEIFS(Dane!$B$2:$B$116,Dane!$A$2:$A$116,$A21,Dane!$D$2:$D$116,"prasa"),"")</f>
        <v/>
      </c>
      <c r="C21" s="17">
        <f>IFERROR(AVERAGEIFS(Dane!$B$2:$B$116,Dane!$A$2:$A$116,$A21,Dane!$D$2:$D$116,"organizatorzy"),"")</f>
        <v>19000</v>
      </c>
      <c r="D21" s="18">
        <f>IFERROR(AVERAGEIFS(Dane!$B$2:$B$116,Dane!$A$2:$A$116,$A21,Dane!$D$2:$D$116,"policja"),"")</f>
        <v>2500</v>
      </c>
      <c r="E21" s="20">
        <f t="shared" si="1"/>
        <v>10750</v>
      </c>
      <c r="F21" s="20">
        <f>IFERROR(AVERAGEIFS(Dane!$B$2:$B$116,Dane!$A$2:$A$116,$A21),"")</f>
        <v>13500</v>
      </c>
      <c r="G21" s="21">
        <f t="shared" si="2"/>
        <v>-2750</v>
      </c>
      <c r="H21" s="21">
        <f t="shared" si="3"/>
        <v>10791.66667</v>
      </c>
    </row>
    <row r="22" ht="15.75" customHeight="1">
      <c r="A22" s="11">
        <v>2010.0</v>
      </c>
      <c r="B22" s="15" t="str">
        <f>IFERROR(AVERAGEIFS(Dane!$B$2:$B$116,Dane!$A$2:$A$116,$A22,Dane!$D$2:$D$116,"prasa"),"")</f>
        <v/>
      </c>
      <c r="C22" s="17">
        <f>IFERROR(AVERAGEIFS(Dane!$B$2:$B$116,Dane!$A$2:$A$116,$A22,Dane!$D$2:$D$116,"organizatorzy"),"")</f>
        <v>12000</v>
      </c>
      <c r="D22" s="18">
        <f>IFERROR(AVERAGEIFS(Dane!$B$2:$B$116,Dane!$A$2:$A$116,$A22,Dane!$D$2:$D$116,"policja"),"")</f>
        <v>7500</v>
      </c>
      <c r="E22" s="20">
        <f t="shared" si="1"/>
        <v>9750</v>
      </c>
      <c r="F22" s="20">
        <f>IFERROR(AVERAGEIFS(Dane!$B$2:$B$116,Dane!$A$2:$A$116,$A22),"")</f>
        <v>9750</v>
      </c>
      <c r="G22" s="21">
        <f t="shared" si="2"/>
        <v>0</v>
      </c>
      <c r="H22" s="21">
        <f t="shared" si="3"/>
        <v>11583.33333</v>
      </c>
    </row>
    <row r="23" ht="15.75" customHeight="1">
      <c r="A23" s="11">
        <v>2011.0</v>
      </c>
      <c r="B23" s="15">
        <f>IFERROR(AVERAGEIFS(Dane!$B$2:$B$116,Dane!$A$2:$A$116,$A23,Dane!$D$2:$D$116,"prasa"),"")</f>
        <v>15000</v>
      </c>
      <c r="C23" s="17">
        <f>IFERROR(AVERAGEIFS(Dane!$B$2:$B$116,Dane!$A$2:$A$116,$A23,Dane!$D$2:$D$116,"organizatorzy"),"")</f>
        <v>12500</v>
      </c>
      <c r="D23" s="18">
        <f>IFERROR(AVERAGEIFS(Dane!$B$2:$B$116,Dane!$A$2:$A$116,$A23,Dane!$D$2:$D$116,"policja"),"")</f>
        <v>6000</v>
      </c>
      <c r="E23" s="20">
        <f t="shared" si="1"/>
        <v>12125</v>
      </c>
      <c r="F23" s="20">
        <f>IFERROR(AVERAGEIFS(Dane!$B$2:$B$116,Dane!$A$2:$A$116,$A23),"")</f>
        <v>11500</v>
      </c>
      <c r="G23" s="21">
        <f t="shared" si="2"/>
        <v>625</v>
      </c>
      <c r="H23" s="21">
        <f t="shared" si="3"/>
        <v>11291.66667</v>
      </c>
    </row>
    <row r="24" ht="15.75" customHeight="1">
      <c r="A24" s="11">
        <v>2012.0</v>
      </c>
      <c r="B24" s="15">
        <f>IFERROR(AVERAGEIFS(Dane!$B$2:$B$116,Dane!$A$2:$A$116,$A24,Dane!$D$2:$D$116,"prasa"),"")</f>
        <v>11833.33333</v>
      </c>
      <c r="C24" s="17">
        <f>IFERROR(AVERAGEIFS(Dane!$B$2:$B$116,Dane!$A$2:$A$116,$A24,Dane!$D$2:$D$116,"organizatorzy"),"")</f>
        <v>15000</v>
      </c>
      <c r="D24" s="18" t="str">
        <f>IFERROR(AVERAGEIFS(Dane!$B$2:$B$116,Dane!$A$2:$A$116,$A24,Dane!$D$2:$D$116,"policja"),"")</f>
        <v/>
      </c>
      <c r="E24" s="20">
        <f t="shared" si="1"/>
        <v>12888.88889</v>
      </c>
      <c r="F24" s="20">
        <f>IFERROR(AVERAGEIFS(Dane!$B$2:$B$116,Dane!$A$2:$A$116,$A24),"")</f>
        <v>12625</v>
      </c>
      <c r="G24" s="21">
        <f t="shared" si="2"/>
        <v>263.8888889</v>
      </c>
      <c r="H24" s="21">
        <f t="shared" si="3"/>
        <v>11291.66667</v>
      </c>
    </row>
    <row r="25" ht="15.75" customHeight="1">
      <c r="A25" s="11">
        <v>2013.0</v>
      </c>
      <c r="B25" s="15">
        <f>IFERROR(AVERAGEIFS(Dane!$B$2:$B$116,Dane!$A$2:$A$116,$A25,Dane!$D$2:$D$116,"prasa"),"")</f>
        <v>9750</v>
      </c>
      <c r="C25" s="17">
        <f>AVERAGE(C24,C26)</f>
        <v>15000</v>
      </c>
      <c r="D25" s="18" t="str">
        <f>IFERROR(AVERAGEIFS(Dane!$B$2:$B$116,Dane!$A$2:$A$116,$A25,Dane!$D$2:$D$116,"policja"),"")</f>
        <v/>
      </c>
      <c r="E25" s="20">
        <f t="shared" si="1"/>
        <v>11500</v>
      </c>
      <c r="F25" s="20">
        <f>IFERROR(AVERAGEIFS(Dane!$B$2:$B$116,Dane!$A$2:$A$116,$A25),"")</f>
        <v>9750</v>
      </c>
      <c r="G25" s="21">
        <f t="shared" si="2"/>
        <v>1750</v>
      </c>
      <c r="H25" s="21">
        <f t="shared" si="3"/>
        <v>10791.66667</v>
      </c>
    </row>
    <row r="26" ht="15.75" customHeight="1">
      <c r="A26" s="11">
        <v>2014.0</v>
      </c>
      <c r="B26" s="15">
        <f>IFERROR(AVERAGEIFS(Dane!$B$2:$B$116,Dane!$A$2:$A$116,$A26,Dane!$D$2:$D$116,"prasa"),"")</f>
        <v>10000</v>
      </c>
      <c r="C26" s="22">
        <v>15000.0</v>
      </c>
      <c r="D26" s="18" t="str">
        <f>IFERROR(AVERAGEIFS(Dane!$B$2:$B$116,Dane!$A$2:$A$116,$A26,Dane!$D$2:$D$116,"policja"),"")</f>
        <v/>
      </c>
      <c r="E26" s="20">
        <f t="shared" si="1"/>
        <v>11666.66667</v>
      </c>
      <c r="F26" s="20">
        <f>IFERROR(AVERAGEIFS(Dane!$B$2:$B$116,Dane!$A$2:$A$116,$A26),"")</f>
        <v>10000</v>
      </c>
      <c r="G26" s="21">
        <f t="shared" si="2"/>
        <v>1666.666667</v>
      </c>
      <c r="H26" s="21">
        <f t="shared" si="3"/>
        <v>11583.33333</v>
      </c>
    </row>
    <row r="27" ht="15.75" customHeight="1">
      <c r="A27" s="11">
        <v>2015.0</v>
      </c>
      <c r="B27" s="15" t="str">
        <f>IFERROR(AVERAGEIFS(Dane!$B$2:$B$116,Dane!$A$2:$A$116,$A27,Dane!$D$2:$D$116,"prasa"),"")</f>
        <v/>
      </c>
      <c r="C27" s="17">
        <f>IFERROR(AVERAGEIFS(Dane!$B$2:$B$116,Dane!$A$2:$A$116,$A27,Dane!$D$2:$D$116,"organizatorzy"),"")</f>
        <v>15000</v>
      </c>
      <c r="D27" s="18" t="str">
        <f>IFERROR(AVERAGEIFS(Dane!$B$2:$B$116,Dane!$A$2:$A$116,$A27,Dane!$D$2:$D$116,"policja"),"")</f>
        <v/>
      </c>
      <c r="E27" s="20">
        <f t="shared" si="1"/>
        <v>15000</v>
      </c>
      <c r="F27" s="20">
        <f>IFERROR(AVERAGEIFS(Dane!$B$2:$B$116,Dane!$A$2:$A$116,$A27),"")</f>
        <v>15000</v>
      </c>
      <c r="G27" s="21">
        <f t="shared" si="2"/>
        <v>0</v>
      </c>
      <c r="H27" s="21">
        <f t="shared" si="3"/>
        <v>13000</v>
      </c>
    </row>
    <row r="28" ht="15.75" customHeight="1">
      <c r="A28" s="11">
        <v>2016.0</v>
      </c>
      <c r="B28" s="15" t="str">
        <f>IFERROR(AVERAGEIFS(Dane!$B$2:$B$116,Dane!$A$2:$A$116,$A28,Dane!$D$2:$D$116,"prasa"),"")</f>
        <v/>
      </c>
      <c r="C28" s="17">
        <f>IFERROR(AVERAGEIFS(Dane!$B$2:$B$116,Dane!$A$2:$A$116,$A28,Dane!$D$2:$D$116,"organizatorzy"),"")</f>
        <v>14000</v>
      </c>
      <c r="D28" s="18" t="str">
        <f>IFERROR(AVERAGEIFS(Dane!$B$2:$B$116,Dane!$A$2:$A$116,$A28,Dane!$D$2:$D$116,"policja"),"")</f>
        <v/>
      </c>
      <c r="E28" s="20">
        <f t="shared" si="1"/>
        <v>14000</v>
      </c>
      <c r="F28" s="20">
        <f>IFERROR(AVERAGEIFS(Dane!$B$2:$B$116,Dane!$A$2:$A$116,$A28),"")</f>
        <v>14000</v>
      </c>
      <c r="G28" s="21">
        <f t="shared" si="2"/>
        <v>0</v>
      </c>
      <c r="H28" s="21">
        <f t="shared" si="3"/>
        <v>14333.33333</v>
      </c>
    </row>
    <row r="29" ht="15.75" customHeight="1">
      <c r="A29" s="11">
        <v>2017.0</v>
      </c>
      <c r="B29" s="15" t="str">
        <f>IFERROR(AVERAGEIFS(Dane!$B$2:$B$116,Dane!$A$2:$A$116,$A29,Dane!$D$2:$D$116,"prasa"),"")</f>
        <v/>
      </c>
      <c r="C29" s="17">
        <f>IFERROR(AVERAGEIFS(Dane!$B$2:$B$116,Dane!$A$2:$A$116,$A29,Dane!$D$2:$D$116,"organizatorzy"),"")</f>
        <v>14000</v>
      </c>
      <c r="D29" s="18" t="str">
        <f>IFERROR(AVERAGEIFS(Dane!$B$2:$B$116,Dane!$A$2:$A$116,$A29,Dane!$D$2:$D$116,"policja"),"")</f>
        <v/>
      </c>
      <c r="E29" s="20">
        <f t="shared" si="1"/>
        <v>14000</v>
      </c>
      <c r="F29" s="20">
        <f>IFERROR(AVERAGEIFS(Dane!$B$2:$B$116,Dane!$A$2:$A$116,$A29),"")</f>
        <v>14000</v>
      </c>
      <c r="G29" s="21">
        <f t="shared" si="2"/>
        <v>0</v>
      </c>
      <c r="H29" s="21">
        <f t="shared" si="3"/>
        <v>12500</v>
      </c>
    </row>
    <row r="30" ht="15.75" customHeight="1">
      <c r="A30" s="11">
        <v>2018.0</v>
      </c>
      <c r="B30" s="15" t="str">
        <f>IFERROR(AVERAGEIFS(Dane!$B$2:$B$116,Dane!$A$2:$A$116,$A30,Dane!$D$2:$D$116,"prasa"),"")</f>
        <v/>
      </c>
      <c r="C30" s="17">
        <f>IFERROR(AVERAGEIFS(Dane!$B$2:$B$116,Dane!$A$2:$A$116,$A30,Dane!$D$2:$D$116,"organizatorzy"),"")</f>
        <v>14000</v>
      </c>
      <c r="D30" s="18">
        <f>IFERROR(AVERAGEIFS(Dane!$B$2:$B$116,Dane!$A$2:$A$116,$A30,Dane!$D$2:$D$116,"policja"),"")</f>
        <v>5000</v>
      </c>
      <c r="E30" s="20">
        <f t="shared" si="1"/>
        <v>9500</v>
      </c>
      <c r="F30" s="20">
        <f>IFERROR(AVERAGEIFS(Dane!$B$2:$B$116,Dane!$A$2:$A$116,$A30),"")</f>
        <v>9500</v>
      </c>
      <c r="G30" s="21">
        <f t="shared" si="2"/>
        <v>0</v>
      </c>
      <c r="H30" s="21">
        <f t="shared" si="3"/>
        <v>12166.66667</v>
      </c>
    </row>
    <row r="31" ht="15.75" customHeight="1">
      <c r="A31" s="11">
        <v>2019.0</v>
      </c>
      <c r="B31" s="15" t="str">
        <f>IFERROR(AVERAGEIFS(Dane!$B$2:$B$116,Dane!$A$2:$A$116,$A31,Dane!$D$2:$D$116,"prasa"),"")</f>
        <v/>
      </c>
      <c r="C31" s="17">
        <f>IFERROR(AVERAGEIFS(Dane!$B$2:$B$116,Dane!$A$2:$A$116,$A31,Dane!$D$2:$D$116,"organizatorzy"),"")</f>
        <v>13000</v>
      </c>
      <c r="D31" s="18" t="str">
        <f>IFERROR(AVERAGEIFS(Dane!$B$2:$B$116,Dane!$A$2:$A$116,$A31,Dane!$D$2:$D$116,"policja"),"")</f>
        <v/>
      </c>
      <c r="E31" s="20">
        <f t="shared" si="1"/>
        <v>13000</v>
      </c>
      <c r="F31" s="20">
        <f>IFERROR(AVERAGEIFS(Dane!$B$2:$B$116,Dane!$A$2:$A$116,$A31),"")</f>
        <v>13000</v>
      </c>
      <c r="G31" s="21">
        <f t="shared" si="2"/>
        <v>0</v>
      </c>
      <c r="H31" s="21">
        <f t="shared" si="3"/>
        <v>7500</v>
      </c>
    </row>
    <row r="32" ht="15.75" customHeight="1">
      <c r="A32" s="1">
        <v>2020.0</v>
      </c>
      <c r="B32" s="15" t="str">
        <f>IFERROR(AVERAGEIFS(Dane!$B$2:$B$116,Dane!$A$2:$A$116,$A32,Dane!$D$2:$D$116,"prasa"),"")</f>
        <v/>
      </c>
      <c r="C32" s="17" t="str">
        <f>IFERROR(AVERAGEIFS(Dane!$B$2:$B$116,Dane!$A$2:$A$116,$A32,Dane!$D$2:$D$116,"organizatorzy"),"")</f>
        <v/>
      </c>
      <c r="D32" s="18" t="str">
        <f>IFERROR(AVERAGEIFS(Dane!$B$2:$B$116,Dane!$A$2:$A$116,$A32,Dane!$D$2:$D$116,"policja"),"")</f>
        <v/>
      </c>
      <c r="E32" s="20" t="str">
        <f t="shared" si="1"/>
        <v/>
      </c>
      <c r="F32" s="20">
        <f>IFERROR(AVERAGEIFS(Dane!$B$2:$B$116,Dane!$A$2:$A$116,$A32),"")</f>
        <v>0</v>
      </c>
      <c r="G32" s="21">
        <f t="shared" si="2"/>
        <v>0</v>
      </c>
      <c r="H32" s="21">
        <f t="shared" si="3"/>
        <v>4433.333333</v>
      </c>
    </row>
    <row r="33" ht="15.75" customHeight="1">
      <c r="A33" s="1">
        <v>2021.0</v>
      </c>
      <c r="B33" s="15" t="str">
        <f>IFERROR(AVERAGEIFS(Dane!$B$2:$B$116,Dane!$A$2:$A$116,$A33,Dane!$D$2:$D$116,"prasa"),"")</f>
        <v/>
      </c>
      <c r="C33" s="17">
        <f>IFERROR(AVERAGEIFS(Dane!$B$2:$B$116,Dane!$A$2:$A$116,$A33,Dane!$D$2:$D$116,"organizatorzy"),"")</f>
        <v>300</v>
      </c>
      <c r="D33" s="18" t="str">
        <f>IFERROR(AVERAGEIFS(Dane!$B$2:$B$116,Dane!$A$2:$A$116,$A33,Dane!$D$2:$D$116,"policja"),"")</f>
        <v/>
      </c>
      <c r="E33" s="20">
        <f t="shared" si="1"/>
        <v>300</v>
      </c>
      <c r="F33" s="20">
        <f>IFERROR(AVERAGEIFS(Dane!$B$2:$B$116,Dane!$A$2:$A$116,$A33),"")</f>
        <v>300</v>
      </c>
      <c r="G33" s="21">
        <f t="shared" si="2"/>
        <v>0</v>
      </c>
      <c r="H33" s="21">
        <f t="shared" si="3"/>
        <v>2933.333333</v>
      </c>
    </row>
    <row r="34" ht="15.75" customHeight="1">
      <c r="A34" s="1">
        <v>2022.0</v>
      </c>
      <c r="B34" s="15">
        <f>IFERROR(AVERAGEIFS(Dane!$B$2:$B$116,Dane!$A$2:$A$116,$A34,Dane!$D$2:$D$116,"prasa"),"")</f>
        <v>7500</v>
      </c>
      <c r="C34" s="17" t="str">
        <f>IFERROR(AVERAGEIFS(Dane!$B$2:$B$116,Dane!$A$2:$A$116,$A34,Dane!$D$2:$D$116,"organizatorzy"),"")</f>
        <v/>
      </c>
      <c r="D34" s="18">
        <f>IFERROR(AVERAGEIFS(Dane!$B$2:$B$116,Dane!$A$2:$A$116,$A34,Dane!$D$2:$D$116,"policja"),"")</f>
        <v>9500</v>
      </c>
      <c r="E34" s="20">
        <f t="shared" si="1"/>
        <v>8166.666667</v>
      </c>
      <c r="F34" s="20">
        <f>IFERROR(AVERAGEIFS(Dane!$B$2:$B$116,Dane!$A$2:$A$116,$A34),"")</f>
        <v>8500</v>
      </c>
      <c r="G34" s="21">
        <f t="shared" si="2"/>
        <v>-333.3333333</v>
      </c>
      <c r="H34" s="21">
        <f t="shared" si="3"/>
        <v>4933.333333</v>
      </c>
    </row>
    <row r="35" ht="15.75" customHeight="1">
      <c r="A35" s="1">
        <v>2023.0</v>
      </c>
      <c r="B35" s="15" t="str">
        <f>IFERROR(AVERAGEIFS(Dane!$B$2:$B$116,Dane!$A$2:$A$116,$A35,Dane!$D$2:$D$116,"prasa"),"")</f>
        <v/>
      </c>
      <c r="C35" s="17" t="str">
        <f>IFERROR(AVERAGEIFS(Dane!$B$2:$B$116,Dane!$A$2:$A$116,$A35,Dane!$D$2:$D$116,"organizatorzy"),"")</f>
        <v/>
      </c>
      <c r="D35" s="18">
        <f>IFERROR(AVERAGEIFS(Dane!$B$2:$B$116,Dane!$A$2:$A$116,$A35,Dane!$D$2:$D$116,"policja"),"")</f>
        <v>6000</v>
      </c>
      <c r="E35" s="20">
        <f t="shared" si="1"/>
        <v>6000</v>
      </c>
      <c r="F35" s="20">
        <f>IFERROR(AVERAGEIFS(Dane!$B$2:$B$116,Dane!$A$2:$A$116,$A35),"")</f>
        <v>6000</v>
      </c>
      <c r="G35" s="21">
        <f t="shared" si="2"/>
        <v>0</v>
      </c>
      <c r="H35" s="21">
        <f t="shared" si="3"/>
        <v>8611.111111</v>
      </c>
    </row>
    <row r="36" ht="15.75" customHeight="1">
      <c r="A36" s="1">
        <v>2024.0</v>
      </c>
      <c r="B36" s="15">
        <f>IFERROR(AVERAGEIFS(Dane!$B$2:$B$116,Dane!$A$2:$A$116,$A36,Dane!$D$2:$D$116,"prasa"),"")</f>
        <v>10000</v>
      </c>
      <c r="C36" s="17" t="str">
        <f>IFERROR(AVERAGEIFS(Dane!$B$2:$B$116,Dane!$A$2:$A$116,$A36,Dane!$D$2:$D$116,"organizatorzy"),"")</f>
        <v/>
      </c>
      <c r="D36" s="18">
        <f>IFERROR(AVERAGEIFS(Dane!$B$2:$B$116,Dane!$A$2:$A$116,$A36,Dane!$D$2:$D$116,"policja"),"")</f>
        <v>14000</v>
      </c>
      <c r="E36" s="20">
        <f t="shared" si="1"/>
        <v>11333.33333</v>
      </c>
      <c r="F36" s="20">
        <f>IFERROR(AVERAGEIFS(Dane!$B$2:$B$116,Dane!$A$2:$A$116,$A36),"")</f>
        <v>11333.33333</v>
      </c>
      <c r="G36" s="21">
        <f t="shared" si="2"/>
        <v>0</v>
      </c>
      <c r="H36" s="21">
        <f t="shared" si="3"/>
        <v>8711.111111</v>
      </c>
    </row>
    <row r="37" ht="15.75" customHeight="1">
      <c r="A37" s="1">
        <v>2025.0</v>
      </c>
      <c r="B37" s="15">
        <f>IFERROR(AVERAGEIFS(Dane!$B$2:$B$116,Dane!$A$2:$A$116,$A37,Dane!$D$2:$D$116,"prasa"),"")</f>
        <v>11000</v>
      </c>
      <c r="C37" s="17" t="str">
        <f>IFERROR(AVERAGEIFS(Dane!$B$2:$B$116,Dane!$A$2:$A$116,$A37,Dane!$D$2:$D$116,"organizatorzy"),"")</f>
        <v/>
      </c>
      <c r="D37" s="18">
        <f>IFERROR(AVERAGEIFS(Dane!$B$2:$B$116,Dane!$A$2:$A$116,$A37,Dane!$D$2:$D$116,"policja"),"")</f>
        <v>6600</v>
      </c>
      <c r="E37" s="20">
        <f t="shared" si="1"/>
        <v>9533.333333</v>
      </c>
      <c r="F37" s="20">
        <f>IFERROR(AVERAGEIFS(Dane!$B$2:$B$116,Dane!$A$2:$A$116,$A37),"")</f>
        <v>8800</v>
      </c>
      <c r="G37" s="21">
        <f t="shared" si="2"/>
        <v>733.3333333</v>
      </c>
      <c r="H37" s="21">
        <f t="shared" si="3"/>
        <v>9894.444444</v>
      </c>
    </row>
    <row r="38" ht="15.75" customHeight="1">
      <c r="A38" s="1">
        <v>2026.0</v>
      </c>
      <c r="B38" s="15" t="str">
        <f>IFERROR(AVERAGEIFS(Dane!$B$2:$B$116,Dane!$A$2:$A$116,$A38,Dane!$D$2:$D$116,"prasa"),"")</f>
        <v/>
      </c>
      <c r="C38" s="17">
        <f>IFERROR(AVERAGEIFS(Dane!$B$2:$B$116,Dane!$A$2:$A$116,$A38,Dane!$D$2:$D$116,"organizatorzy"),"")</f>
        <v>12000</v>
      </c>
      <c r="D38" s="18">
        <f>IFERROR(AVERAGEIFS(Dane!$B$2:$B$116,Dane!$A$2:$A$116,$A38,Dane!$D$2:$D$116,"policja"),"")</f>
        <v>7100</v>
      </c>
      <c r="E38" s="20">
        <f t="shared" si="1"/>
        <v>9550</v>
      </c>
      <c r="F38" s="20">
        <f>IFERROR(AVERAGEIFS(Dane!$B$2:$B$116,Dane!$A$2:$A$116,$A38),"")</f>
        <v>9550</v>
      </c>
      <c r="G38" s="21">
        <f t="shared" si="2"/>
        <v>0</v>
      </c>
    </row>
    <row r="39" ht="15.75" customHeight="1"/>
    <row r="40" ht="15.75" customHeight="1"/>
    <row r="41" ht="15.75" customHeight="1"/>
    <row r="42" ht="15.75" customHeight="1"/>
    <row r="43" ht="15.75" customHeight="1">
      <c r="C43" s="2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25"/>
      <c r="D47" s="25"/>
      <c r="E47" s="25"/>
      <c r="F47" s="25"/>
      <c r="G47" s="25"/>
      <c r="H47" s="25"/>
    </row>
    <row r="48" ht="15.75" customHeight="1">
      <c r="C48" s="27"/>
      <c r="D48" s="25"/>
      <c r="E48" s="25"/>
      <c r="F48" s="25"/>
      <c r="G48" s="25"/>
      <c r="H48" s="25"/>
    </row>
    <row r="49" ht="15.75" customHeight="1">
      <c r="C49" s="27"/>
      <c r="D49" s="25"/>
      <c r="E49" s="25"/>
      <c r="F49" s="25"/>
      <c r="G49" s="25"/>
      <c r="H49" s="25"/>
    </row>
    <row r="50" ht="15.75" customHeight="1">
      <c r="C50" s="27"/>
      <c r="D50" s="25"/>
      <c r="E50" s="25"/>
      <c r="F50" s="25"/>
      <c r="G50" s="25"/>
      <c r="H50" s="25"/>
    </row>
    <row r="51" ht="15.75" customHeight="1">
      <c r="C51" s="27"/>
      <c r="D51" s="25"/>
      <c r="E51" s="25"/>
      <c r="F51" s="25"/>
      <c r="G51" s="25"/>
      <c r="H51" s="25"/>
    </row>
    <row r="52" ht="15.75" customHeight="1">
      <c r="C52" s="27"/>
      <c r="D52" s="25"/>
      <c r="E52" s="25"/>
      <c r="F52" s="25"/>
      <c r="G52" s="25"/>
      <c r="H52" s="25"/>
    </row>
    <row r="53" ht="15.75" customHeight="1">
      <c r="C53" s="27"/>
      <c r="D53" s="25"/>
      <c r="E53" s="25"/>
      <c r="F53" s="25"/>
      <c r="G53" s="25"/>
      <c r="H53" s="25"/>
    </row>
    <row r="54" ht="15.75" customHeight="1">
      <c r="C54" s="27"/>
      <c r="D54" s="25"/>
      <c r="E54" s="25"/>
      <c r="F54" s="25"/>
      <c r="G54" s="25"/>
      <c r="H54" s="25"/>
    </row>
    <row r="55" ht="15.75" customHeight="1">
      <c r="C55" s="27"/>
      <c r="D55" s="25"/>
      <c r="E55" s="25"/>
      <c r="F55" s="25"/>
      <c r="G55" s="25"/>
      <c r="H55" s="25"/>
    </row>
    <row r="56" ht="15.75" customHeight="1">
      <c r="C56" s="27"/>
      <c r="D56" s="25"/>
      <c r="E56" s="25"/>
      <c r="F56" s="25"/>
      <c r="G56" s="25"/>
      <c r="H56" s="25"/>
    </row>
    <row r="57" ht="15.75" customHeight="1">
      <c r="C57" s="27"/>
      <c r="D57" s="25"/>
      <c r="E57" s="25"/>
      <c r="F57" s="25"/>
      <c r="G57" s="25"/>
      <c r="H57" s="25"/>
    </row>
    <row r="58" ht="15.75" customHeight="1">
      <c r="C58" s="27"/>
      <c r="D58" s="25"/>
      <c r="E58" s="25"/>
      <c r="F58" s="25"/>
      <c r="G58" s="25"/>
      <c r="H58" s="25"/>
    </row>
    <row r="59" ht="15.75" customHeight="1">
      <c r="C59" s="27"/>
      <c r="D59" s="25"/>
      <c r="E59" s="25"/>
      <c r="F59" s="25"/>
      <c r="G59" s="25"/>
      <c r="H59" s="25"/>
    </row>
    <row r="60" ht="15.75" customHeight="1">
      <c r="C60" s="27"/>
      <c r="D60" s="25"/>
      <c r="E60" s="25"/>
      <c r="F60" s="25"/>
      <c r="G60" s="25"/>
      <c r="H60" s="25"/>
    </row>
    <row r="61" ht="15.75" customHeight="1">
      <c r="C61" s="27"/>
      <c r="D61" s="25"/>
      <c r="E61" s="25"/>
      <c r="F61" s="25"/>
      <c r="G61" s="25"/>
      <c r="H61" s="25"/>
    </row>
    <row r="62" ht="15.75" customHeight="1">
      <c r="C62" s="27"/>
      <c r="D62" s="25"/>
      <c r="E62" s="25"/>
      <c r="F62" s="25"/>
      <c r="G62" s="25"/>
      <c r="H62" s="25"/>
    </row>
    <row r="63" ht="15.75" customHeight="1">
      <c r="C63" s="27"/>
      <c r="D63" s="25"/>
      <c r="E63" s="25"/>
      <c r="F63" s="25"/>
      <c r="G63" s="25"/>
      <c r="H63" s="25"/>
    </row>
    <row r="64" ht="15.75" customHeight="1">
      <c r="C64" s="27"/>
      <c r="D64" s="25"/>
      <c r="E64" s="25"/>
      <c r="F64" s="25"/>
      <c r="G64" s="25"/>
      <c r="H64" s="25"/>
    </row>
    <row r="65" ht="15.75" customHeight="1">
      <c r="C65" s="27"/>
      <c r="D65" s="25"/>
      <c r="E65" s="25"/>
      <c r="F65" s="25"/>
      <c r="G65" s="25"/>
      <c r="H65" s="25"/>
    </row>
    <row r="66" ht="15.75" customHeight="1">
      <c r="C66" s="27"/>
      <c r="D66" s="25"/>
      <c r="E66" s="25"/>
      <c r="F66" s="25"/>
      <c r="G66" s="25"/>
      <c r="H66" s="25"/>
    </row>
    <row r="67" ht="15.75" customHeight="1">
      <c r="C67" s="27"/>
      <c r="D67" s="25"/>
      <c r="E67" s="25"/>
      <c r="F67" s="25"/>
      <c r="G67" s="25"/>
      <c r="H67" s="25"/>
    </row>
    <row r="68" ht="15.75" customHeight="1">
      <c r="C68" s="27"/>
      <c r="D68" s="25"/>
      <c r="E68" s="25"/>
      <c r="F68" s="25"/>
      <c r="G68" s="25"/>
      <c r="H68" s="25"/>
    </row>
    <row r="69" ht="15.75" customHeight="1">
      <c r="C69" s="27"/>
      <c r="D69" s="25"/>
      <c r="E69" s="25"/>
      <c r="F69" s="25"/>
      <c r="G69" s="25"/>
      <c r="H69" s="25"/>
    </row>
    <row r="70" ht="15.75" customHeight="1">
      <c r="C70" s="27"/>
      <c r="D70" s="25"/>
      <c r="E70" s="25"/>
      <c r="F70" s="25"/>
      <c r="G70" s="25"/>
      <c r="H70" s="25"/>
    </row>
    <row r="71" ht="15.75" customHeight="1">
      <c r="C71" s="27"/>
      <c r="D71" s="25"/>
      <c r="E71" s="25"/>
      <c r="F71" s="25"/>
      <c r="G71" s="25"/>
      <c r="H71" s="25"/>
    </row>
    <row r="72" ht="15.75" customHeight="1">
      <c r="C72" s="27"/>
      <c r="D72" s="25"/>
      <c r="E72" s="25"/>
      <c r="F72" s="25"/>
      <c r="G72" s="25"/>
      <c r="H72" s="25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>
      <c r="D79" s="21"/>
      <c r="E79" s="28"/>
      <c r="F79" s="28"/>
      <c r="G79" s="21"/>
      <c r="J79" s="29"/>
    </row>
    <row r="80" ht="15.75" customHeight="1">
      <c r="D80" s="21"/>
      <c r="E80" s="28"/>
      <c r="F80" s="28"/>
      <c r="G80" s="21"/>
      <c r="J80" s="29"/>
    </row>
    <row r="81" ht="15.75" customHeight="1">
      <c r="D81" s="21"/>
      <c r="E81" s="28"/>
      <c r="F81" s="28"/>
      <c r="G81" s="21"/>
      <c r="J81" s="29"/>
    </row>
    <row r="82" ht="15.75" customHeight="1">
      <c r="D82" s="21"/>
      <c r="E82" s="28"/>
      <c r="F82" s="28"/>
      <c r="G82" s="21"/>
      <c r="J82" s="29"/>
    </row>
    <row r="83" ht="15.75" customHeight="1">
      <c r="D83" s="21"/>
      <c r="E83" s="28"/>
      <c r="F83" s="28"/>
      <c r="G83" s="21"/>
      <c r="J83" s="29"/>
    </row>
    <row r="84" ht="15.75" customHeight="1">
      <c r="D84" s="21"/>
      <c r="E84" s="28"/>
      <c r="F84" s="28"/>
      <c r="G84" s="21"/>
      <c r="J84" s="29"/>
    </row>
    <row r="85" ht="15.75" customHeight="1">
      <c r="D85" s="21"/>
      <c r="E85" s="28"/>
      <c r="F85" s="28"/>
      <c r="G85" s="21"/>
      <c r="J85" s="29"/>
    </row>
    <row r="86" ht="15.75" customHeight="1">
      <c r="D86" s="21"/>
      <c r="E86" s="28"/>
      <c r="F86" s="28"/>
      <c r="G86" s="21"/>
      <c r="J86" s="29"/>
    </row>
    <row r="87" ht="15.75" customHeight="1">
      <c r="D87" s="21"/>
      <c r="E87" s="28"/>
      <c r="F87" s="28"/>
      <c r="G87" s="21"/>
      <c r="J87" s="29"/>
    </row>
    <row r="88" ht="15.75" customHeight="1">
      <c r="D88" s="21"/>
      <c r="E88" s="28"/>
      <c r="F88" s="28"/>
      <c r="G88" s="21"/>
      <c r="J88" s="29"/>
    </row>
    <row r="89" ht="15.75" customHeight="1">
      <c r="D89" s="21"/>
      <c r="E89" s="28"/>
      <c r="F89" s="28"/>
      <c r="G89" s="21"/>
      <c r="J89" s="29"/>
    </row>
    <row r="90" ht="15.75" customHeight="1">
      <c r="D90" s="21"/>
      <c r="E90" s="28"/>
      <c r="F90" s="28"/>
      <c r="G90" s="21"/>
      <c r="J90" s="29"/>
    </row>
    <row r="91" ht="15.75" customHeight="1">
      <c r="D91" s="21"/>
      <c r="E91" s="28"/>
      <c r="F91" s="28"/>
      <c r="G91" s="21"/>
      <c r="J91" s="29"/>
    </row>
    <row r="92" ht="15.75" customHeight="1">
      <c r="D92" s="21"/>
      <c r="E92" s="28"/>
      <c r="F92" s="28"/>
      <c r="G92" s="21"/>
      <c r="J92" s="29"/>
    </row>
    <row r="93" ht="15.75" customHeight="1">
      <c r="D93" s="21"/>
      <c r="E93" s="28"/>
      <c r="F93" s="28"/>
      <c r="G93" s="21"/>
      <c r="J93" s="29"/>
    </row>
    <row r="94" ht="15.75" customHeight="1">
      <c r="D94" s="21"/>
      <c r="E94" s="28"/>
      <c r="F94" s="28"/>
      <c r="G94" s="21"/>
      <c r="J94" s="29"/>
    </row>
    <row r="95" ht="15.75" customHeight="1">
      <c r="D95" s="21"/>
      <c r="E95" s="28"/>
      <c r="F95" s="28"/>
      <c r="G95" s="21"/>
      <c r="J95" s="29"/>
    </row>
    <row r="96" ht="15.75" customHeight="1">
      <c r="D96" s="21"/>
      <c r="E96" s="28"/>
      <c r="F96" s="28"/>
      <c r="G96" s="21"/>
      <c r="J96" s="29"/>
    </row>
    <row r="97" ht="15.75" customHeight="1">
      <c r="D97" s="21"/>
      <c r="E97" s="28"/>
      <c r="F97" s="28"/>
      <c r="G97" s="21"/>
      <c r="J97" s="29"/>
    </row>
    <row r="98" ht="15.75" customHeight="1">
      <c r="D98" s="21"/>
      <c r="E98" s="28"/>
      <c r="F98" s="28"/>
      <c r="G98" s="21"/>
      <c r="J98" s="29"/>
    </row>
    <row r="99" ht="15.75" customHeight="1">
      <c r="D99" s="21"/>
      <c r="E99" s="28"/>
      <c r="F99" s="28"/>
      <c r="G99" s="21"/>
      <c r="J99" s="29"/>
    </row>
    <row r="100" ht="15.75" customHeight="1">
      <c r="D100" s="21"/>
      <c r="E100" s="28"/>
      <c r="F100" s="28"/>
      <c r="G100" s="21"/>
      <c r="J100" s="29"/>
    </row>
    <row r="101" ht="15.75" customHeight="1">
      <c r="D101" s="21"/>
      <c r="E101" s="28"/>
      <c r="F101" s="28"/>
      <c r="G101" s="21"/>
      <c r="J101" s="29"/>
    </row>
    <row r="102" ht="15.75" customHeight="1">
      <c r="D102" s="21"/>
      <c r="E102" s="28"/>
      <c r="F102" s="28"/>
      <c r="G102" s="21"/>
      <c r="J102" s="29"/>
    </row>
    <row r="103" ht="15.75" customHeight="1">
      <c r="D103" s="21"/>
      <c r="E103" s="28"/>
      <c r="F103" s="28"/>
      <c r="G103" s="21"/>
      <c r="J103" s="29"/>
    </row>
    <row r="104" ht="15.75" customHeight="1">
      <c r="D104" s="21"/>
      <c r="E104" s="28"/>
      <c r="F104" s="28"/>
      <c r="G104" s="21"/>
      <c r="J104" s="29"/>
    </row>
    <row r="105" ht="15.75" customHeight="1">
      <c r="D105" s="21"/>
      <c r="E105" s="28"/>
      <c r="F105" s="28"/>
      <c r="G105" s="21"/>
      <c r="J105" s="29"/>
    </row>
    <row r="106" ht="15.75" customHeight="1">
      <c r="D106" s="21"/>
      <c r="E106" s="28"/>
      <c r="F106" s="28"/>
      <c r="G106" s="21"/>
      <c r="J106" s="29"/>
    </row>
    <row r="107" ht="15.75" customHeight="1">
      <c r="D107" s="21"/>
      <c r="E107" s="28"/>
      <c r="F107" s="28"/>
      <c r="G107" s="21"/>
      <c r="J107" s="29"/>
    </row>
    <row r="108" ht="15.75" customHeight="1">
      <c r="D108" s="21"/>
      <c r="E108" s="28"/>
      <c r="F108" s="28"/>
      <c r="G108" s="21"/>
      <c r="J108" s="29"/>
    </row>
    <row r="109" ht="15.75" customHeight="1">
      <c r="D109" s="21"/>
      <c r="E109" s="28"/>
      <c r="F109" s="28"/>
      <c r="G109" s="21"/>
      <c r="J109" s="29"/>
    </row>
    <row r="110" ht="15.75" customHeight="1">
      <c r="D110" s="21"/>
      <c r="E110" s="28"/>
      <c r="F110" s="28"/>
      <c r="G110" s="21"/>
      <c r="J110" s="29"/>
    </row>
    <row r="111" ht="15.75" customHeight="1">
      <c r="D111" s="21"/>
      <c r="E111" s="28"/>
      <c r="F111" s="28"/>
      <c r="G111" s="21"/>
      <c r="J111" s="29"/>
    </row>
    <row r="112" ht="15.75" customHeight="1">
      <c r="D112" s="21"/>
      <c r="E112" s="28"/>
      <c r="F112" s="28"/>
      <c r="G112" s="21"/>
      <c r="J112" s="29"/>
    </row>
    <row r="113" ht="15.75" customHeight="1">
      <c r="D113" s="21"/>
      <c r="E113" s="28"/>
      <c r="F113" s="28"/>
      <c r="G113" s="21"/>
      <c r="J113" s="29"/>
    </row>
    <row r="114" ht="15.75" customHeight="1">
      <c r="D114" s="21"/>
      <c r="E114" s="28"/>
      <c r="F114" s="28"/>
      <c r="G114" s="21"/>
      <c r="J114" s="29"/>
    </row>
    <row r="115" ht="15.75" customHeight="1">
      <c r="D115" s="21"/>
      <c r="E115" s="28"/>
      <c r="F115" s="28"/>
      <c r="G115" s="21"/>
      <c r="J115" s="29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conditionalFormatting sqref="H3:H3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4" t="s">
        <v>5</v>
      </c>
    </row>
    <row r="2" ht="15.75" customHeight="1">
      <c r="A2" s="6">
        <v>1996.0</v>
      </c>
      <c r="B2" s="8">
        <v>10000.0</v>
      </c>
      <c r="C2" s="8" t="s">
        <v>9</v>
      </c>
      <c r="D2" s="8" t="s">
        <v>11</v>
      </c>
    </row>
    <row r="3" ht="15.75" customHeight="1">
      <c r="A3" s="10">
        <v>1997.0</v>
      </c>
      <c r="B3" s="10">
        <v>9000.0</v>
      </c>
      <c r="C3" s="10" t="s">
        <v>14</v>
      </c>
      <c r="D3" s="10" t="s">
        <v>11</v>
      </c>
    </row>
    <row r="4" ht="15.0" customHeight="1">
      <c r="A4" s="8">
        <v>1998.0</v>
      </c>
      <c r="B4" s="8">
        <v>3000.0</v>
      </c>
      <c r="C4" s="8" t="s">
        <v>17</v>
      </c>
      <c r="D4" s="8" t="s">
        <v>11</v>
      </c>
    </row>
    <row r="5" ht="15.0" customHeight="1">
      <c r="A5" s="8">
        <v>1998.0</v>
      </c>
      <c r="B5" s="8">
        <v>6000.0</v>
      </c>
      <c r="C5" s="8" t="s">
        <v>9</v>
      </c>
      <c r="D5" s="8" t="s">
        <v>20</v>
      </c>
    </row>
    <row r="6" ht="15.0" customHeight="1">
      <c r="A6" s="6">
        <v>1998.0</v>
      </c>
      <c r="B6" s="8">
        <v>11000.0</v>
      </c>
      <c r="C6" s="8" t="s">
        <v>9</v>
      </c>
      <c r="D6" s="8" t="s">
        <v>21</v>
      </c>
    </row>
    <row r="7" ht="15.75" customHeight="1">
      <c r="A7" s="8">
        <v>1999.0</v>
      </c>
      <c r="B7" s="1">
        <v>12000.0</v>
      </c>
      <c r="C7" s="8" t="s">
        <v>22</v>
      </c>
      <c r="D7" s="8" t="s">
        <v>11</v>
      </c>
    </row>
    <row r="8" ht="15.75" customHeight="1">
      <c r="A8" s="8">
        <v>1999.0</v>
      </c>
      <c r="B8" s="8">
        <v>15000.0</v>
      </c>
      <c r="C8" s="8" t="s">
        <v>9</v>
      </c>
      <c r="D8" s="8" t="s">
        <v>11</v>
      </c>
    </row>
    <row r="9" ht="15.75" customHeight="1">
      <c r="A9" s="6">
        <v>1999.0</v>
      </c>
      <c r="B9" s="8">
        <v>15000.0</v>
      </c>
      <c r="C9" s="8" t="s">
        <v>24</v>
      </c>
      <c r="D9" s="8" t="s">
        <v>11</v>
      </c>
    </row>
    <row r="10" ht="15.75" customHeight="1">
      <c r="A10" s="10">
        <v>2000.0</v>
      </c>
      <c r="B10" s="10">
        <v>5000.0</v>
      </c>
      <c r="C10" s="10" t="s">
        <v>9</v>
      </c>
      <c r="D10" s="10" t="s">
        <v>20</v>
      </c>
    </row>
    <row r="11" ht="15.75" customHeight="1">
      <c r="A11" s="10">
        <v>2000.0</v>
      </c>
      <c r="B11" s="10">
        <v>20000.0</v>
      </c>
      <c r="C11" s="10" t="s">
        <v>9</v>
      </c>
      <c r="D11" s="10" t="s">
        <v>21</v>
      </c>
    </row>
    <row r="12" ht="15.75" customHeight="1">
      <c r="A12" s="12">
        <v>2000.0</v>
      </c>
      <c r="B12" s="8">
        <v>15000.0</v>
      </c>
      <c r="C12" s="8" t="s">
        <v>9</v>
      </c>
      <c r="D12" s="10" t="s">
        <v>11</v>
      </c>
    </row>
    <row r="13" ht="15.75" customHeight="1">
      <c r="A13" s="14">
        <v>2001.0</v>
      </c>
      <c r="B13" s="6">
        <v>6000.0</v>
      </c>
      <c r="C13" s="6" t="s">
        <v>29</v>
      </c>
      <c r="D13" s="8" t="s">
        <v>11</v>
      </c>
    </row>
    <row r="14" ht="15.75" customHeight="1">
      <c r="A14" s="14">
        <v>2001.0</v>
      </c>
      <c r="B14" s="10">
        <v>5000.0</v>
      </c>
      <c r="C14" s="10" t="s">
        <v>31</v>
      </c>
      <c r="D14" s="8" t="s">
        <v>11</v>
      </c>
    </row>
    <row r="15" ht="15.75" customHeight="1">
      <c r="A15" s="8">
        <v>2002.0</v>
      </c>
      <c r="B15" s="10">
        <v>8000.0</v>
      </c>
      <c r="C15" s="10" t="s">
        <v>32</v>
      </c>
      <c r="D15" s="8" t="s">
        <v>11</v>
      </c>
    </row>
    <row r="16" ht="15.75" customHeight="1">
      <c r="A16" s="8">
        <v>2002.0</v>
      </c>
      <c r="B16" s="10">
        <v>11000.0</v>
      </c>
      <c r="C16" s="10" t="s">
        <v>34</v>
      </c>
      <c r="D16" s="8" t="s">
        <v>11</v>
      </c>
    </row>
    <row r="17" ht="15.75" customHeight="1">
      <c r="A17" s="8">
        <v>2003.0</v>
      </c>
      <c r="B17" s="8">
        <v>3500.0</v>
      </c>
      <c r="C17" s="8" t="s">
        <v>9</v>
      </c>
      <c r="D17" s="8" t="s">
        <v>11</v>
      </c>
    </row>
    <row r="18" ht="15.75" customHeight="1">
      <c r="A18" s="8">
        <v>2004.0</v>
      </c>
      <c r="B18" s="8">
        <v>3500.0</v>
      </c>
      <c r="C18" s="8" t="s">
        <v>36</v>
      </c>
      <c r="D18" s="8" t="s">
        <v>11</v>
      </c>
    </row>
    <row r="19" ht="15.75" customHeight="1">
      <c r="A19" s="10">
        <v>2005.0</v>
      </c>
      <c r="B19" s="10">
        <v>0.0</v>
      </c>
      <c r="C19" s="12"/>
      <c r="D19" s="12"/>
    </row>
    <row r="20" ht="15.75" customHeight="1">
      <c r="A20" s="12">
        <v>2006.0</v>
      </c>
      <c r="B20" s="10">
        <v>0.0</v>
      </c>
      <c r="C20" s="12"/>
      <c r="D20" s="12"/>
    </row>
    <row r="21" ht="15.75" customHeight="1">
      <c r="A21" s="10">
        <v>2007.0</v>
      </c>
      <c r="B21" s="10">
        <v>3000.0</v>
      </c>
      <c r="C21" s="10" t="s">
        <v>40</v>
      </c>
      <c r="D21" s="10" t="s">
        <v>20</v>
      </c>
    </row>
    <row r="22" ht="15.75" customHeight="1">
      <c r="A22" s="10">
        <v>2007.0</v>
      </c>
      <c r="B22" s="10">
        <v>5000.0</v>
      </c>
      <c r="C22" s="10" t="s">
        <v>41</v>
      </c>
      <c r="D22" s="10" t="s">
        <v>11</v>
      </c>
    </row>
    <row r="23" ht="15.75" customHeight="1">
      <c r="A23" s="10">
        <v>2007.0</v>
      </c>
      <c r="B23" s="10">
        <v>15000.0</v>
      </c>
      <c r="C23" s="10" t="s">
        <v>42</v>
      </c>
      <c r="D23" s="10" t="s">
        <v>21</v>
      </c>
    </row>
    <row r="24" ht="15.75" customHeight="1">
      <c r="A24" s="12">
        <v>2008.0</v>
      </c>
      <c r="B24" s="12">
        <v>10000.0</v>
      </c>
      <c r="C24" s="12" t="s">
        <v>44</v>
      </c>
      <c r="D24" s="12" t="s">
        <v>20</v>
      </c>
    </row>
    <row r="25" ht="15.75" customHeight="1">
      <c r="A25" s="6">
        <v>2008.0</v>
      </c>
      <c r="B25" s="6">
        <v>12000.0</v>
      </c>
      <c r="C25" s="6" t="s">
        <v>46</v>
      </c>
      <c r="D25" s="6" t="s">
        <v>21</v>
      </c>
    </row>
    <row r="26" ht="15.75" customHeight="1">
      <c r="A26" s="8">
        <v>2009.0</v>
      </c>
      <c r="B26" s="8">
        <v>5000.0</v>
      </c>
      <c r="C26" s="8" t="s">
        <v>47</v>
      </c>
      <c r="D26" s="8" t="s">
        <v>20</v>
      </c>
    </row>
    <row r="27" ht="15.75" customHeight="1">
      <c r="A27" s="8">
        <v>2009.0</v>
      </c>
      <c r="B27" s="8">
        <v>12000.0</v>
      </c>
      <c r="C27" s="8" t="s">
        <v>48</v>
      </c>
      <c r="D27" s="8" t="s">
        <v>21</v>
      </c>
    </row>
    <row r="28" ht="15.75" customHeight="1">
      <c r="A28" s="12">
        <v>2010.0</v>
      </c>
      <c r="B28" s="12">
        <v>10000.0</v>
      </c>
      <c r="C28" s="12" t="s">
        <v>50</v>
      </c>
      <c r="D28" s="12" t="s">
        <v>20</v>
      </c>
    </row>
    <row r="29" ht="15.75" customHeight="1">
      <c r="A29" s="10">
        <v>2010.0</v>
      </c>
      <c r="B29" s="10">
        <v>15000.0</v>
      </c>
      <c r="C29" s="10" t="s">
        <v>52</v>
      </c>
      <c r="D29" s="10" t="s">
        <v>21</v>
      </c>
    </row>
    <row r="30" ht="15.75" customHeight="1">
      <c r="A30" s="10">
        <v>2011.0</v>
      </c>
      <c r="B30" s="10">
        <v>10000.0</v>
      </c>
      <c r="C30" s="10" t="s">
        <v>31</v>
      </c>
      <c r="D30" s="10" t="s">
        <v>11</v>
      </c>
    </row>
    <row r="31" ht="15.75" customHeight="1">
      <c r="A31" s="13">
        <v>2011.0</v>
      </c>
      <c r="B31" s="13">
        <v>9000.0</v>
      </c>
      <c r="C31" s="13" t="s">
        <v>54</v>
      </c>
      <c r="D31" s="13" t="s">
        <v>20</v>
      </c>
    </row>
    <row r="32" ht="15.75" customHeight="1">
      <c r="A32" s="16">
        <v>2011.0</v>
      </c>
      <c r="B32" s="16">
        <v>15000.0</v>
      </c>
      <c r="C32" s="16" t="s">
        <v>36</v>
      </c>
      <c r="D32" s="16" t="s">
        <v>21</v>
      </c>
    </row>
    <row r="33" ht="15.75" customHeight="1">
      <c r="A33" s="6">
        <v>2012.0</v>
      </c>
      <c r="B33" s="6">
        <v>12000.0</v>
      </c>
      <c r="C33" s="6" t="s">
        <v>31</v>
      </c>
      <c r="D33" s="6" t="s">
        <v>11</v>
      </c>
    </row>
    <row r="34" ht="15.75" customHeight="1">
      <c r="A34" s="8">
        <v>2012.0</v>
      </c>
      <c r="B34" s="8">
        <v>25000.0</v>
      </c>
      <c r="C34" s="8" t="s">
        <v>57</v>
      </c>
      <c r="D34" s="8" t="s">
        <v>21</v>
      </c>
    </row>
    <row r="35" ht="15.75" customHeight="1">
      <c r="A35" s="8">
        <v>2013.0</v>
      </c>
      <c r="B35" s="8">
        <v>10000.0</v>
      </c>
      <c r="C35" s="8" t="s">
        <v>59</v>
      </c>
      <c r="D35" s="8" t="s">
        <v>11</v>
      </c>
    </row>
    <row r="36" ht="15.75" customHeight="1">
      <c r="A36" s="8">
        <v>2013.0</v>
      </c>
      <c r="B36" s="8">
        <v>17000.0</v>
      </c>
      <c r="C36" s="8" t="s">
        <v>60</v>
      </c>
      <c r="D36" s="8" t="s">
        <v>21</v>
      </c>
    </row>
    <row r="37" ht="15.75" customHeight="1">
      <c r="A37" s="8">
        <v>2013.0</v>
      </c>
      <c r="B37" s="8">
        <v>8000.0</v>
      </c>
      <c r="C37" s="8" t="s">
        <v>62</v>
      </c>
      <c r="D37" s="8" t="s">
        <v>20</v>
      </c>
    </row>
    <row r="38" ht="15.75" customHeight="1">
      <c r="A38" s="8">
        <v>2014.0</v>
      </c>
      <c r="B38" s="8">
        <v>19000.0</v>
      </c>
      <c r="C38" s="8" t="s">
        <v>40</v>
      </c>
      <c r="D38" s="8" t="s">
        <v>20</v>
      </c>
    </row>
    <row r="39" ht="15.75" customHeight="1">
      <c r="A39" s="16">
        <v>2014.0</v>
      </c>
      <c r="B39" s="16">
        <v>25000.0</v>
      </c>
      <c r="C39" s="16" t="s">
        <v>63</v>
      </c>
      <c r="D39" s="16" t="s">
        <v>21</v>
      </c>
    </row>
    <row r="40" ht="15.75" customHeight="1">
      <c r="A40" s="6">
        <v>2015.0</v>
      </c>
      <c r="B40" s="6">
        <v>18000.0</v>
      </c>
      <c r="C40" s="6" t="s">
        <v>65</v>
      </c>
      <c r="D40" s="6" t="s">
        <v>20</v>
      </c>
    </row>
    <row r="41" ht="15.75" customHeight="1">
      <c r="A41" s="8">
        <v>2015.0</v>
      </c>
      <c r="B41" s="8">
        <v>33000.0</v>
      </c>
      <c r="C41" s="8" t="s">
        <v>67</v>
      </c>
      <c r="D41" s="8" t="s">
        <v>21</v>
      </c>
    </row>
    <row r="42" ht="15.75" customHeight="1">
      <c r="A42" s="8">
        <v>2016.0</v>
      </c>
      <c r="B42" s="8">
        <v>13000.0</v>
      </c>
      <c r="C42" s="8" t="s">
        <v>69</v>
      </c>
      <c r="D42" s="8" t="s">
        <v>20</v>
      </c>
    </row>
    <row r="43" ht="15.75" customHeight="1">
      <c r="A43" s="16">
        <v>2016.0</v>
      </c>
      <c r="B43" s="16">
        <v>20000.0</v>
      </c>
      <c r="C43" s="16" t="s">
        <v>71</v>
      </c>
      <c r="D43" s="16" t="s">
        <v>21</v>
      </c>
    </row>
    <row r="44" ht="15.75" customHeight="1">
      <c r="A44" s="6">
        <v>2017.0</v>
      </c>
      <c r="B44" s="6">
        <v>10000.0</v>
      </c>
      <c r="C44" s="6" t="s">
        <v>72</v>
      </c>
      <c r="D44" s="6" t="s">
        <v>20</v>
      </c>
    </row>
    <row r="45" ht="15.75" customHeight="1">
      <c r="A45" s="8">
        <v>2017.0</v>
      </c>
      <c r="B45" s="8">
        <v>20000.0</v>
      </c>
      <c r="C45" s="8" t="s">
        <v>73</v>
      </c>
      <c r="D45" s="8" t="s">
        <v>21</v>
      </c>
    </row>
    <row r="46" ht="15.75" customHeight="1">
      <c r="A46" s="8">
        <v>2018.0</v>
      </c>
      <c r="B46" s="8">
        <v>7000.0</v>
      </c>
      <c r="C46" s="8" t="s">
        <v>72</v>
      </c>
      <c r="D46" s="8" t="s">
        <v>20</v>
      </c>
    </row>
    <row r="47" ht="15.75" customHeight="1">
      <c r="A47" s="16">
        <v>2018.0</v>
      </c>
      <c r="B47" s="16">
        <v>18000.0</v>
      </c>
      <c r="C47" s="16" t="s">
        <v>76</v>
      </c>
      <c r="D47" s="16" t="s">
        <v>21</v>
      </c>
    </row>
    <row r="48" ht="15.75" customHeight="1">
      <c r="A48" s="6">
        <v>2019.0</v>
      </c>
      <c r="B48" s="6">
        <v>15000.0</v>
      </c>
      <c r="C48" s="6" t="s">
        <v>76</v>
      </c>
      <c r="D48" s="6" t="s">
        <v>21</v>
      </c>
    </row>
    <row r="49" ht="15.75" customHeight="1">
      <c r="A49" s="8">
        <v>2019.0</v>
      </c>
      <c r="B49" s="8">
        <v>10000.0</v>
      </c>
      <c r="C49" s="8" t="s">
        <v>77</v>
      </c>
      <c r="D49" s="8" t="s">
        <v>11</v>
      </c>
    </row>
    <row r="50" ht="15.75" customHeight="1">
      <c r="A50" s="8">
        <v>2019.0</v>
      </c>
      <c r="B50" s="8">
        <v>5000.0</v>
      </c>
      <c r="C50" s="8" t="s">
        <v>78</v>
      </c>
      <c r="D50" s="8" t="s">
        <v>20</v>
      </c>
    </row>
    <row r="51" ht="15.75" customHeight="1">
      <c r="A51" s="8">
        <v>2020.0</v>
      </c>
      <c r="B51" s="8">
        <v>3000.0</v>
      </c>
      <c r="C51" s="8" t="s">
        <v>79</v>
      </c>
      <c r="D51" s="8" t="s">
        <v>20</v>
      </c>
    </row>
    <row r="52" ht="15.75" customHeight="1">
      <c r="A52" s="8">
        <v>2020.0</v>
      </c>
      <c r="B52" s="8">
        <v>3000.0</v>
      </c>
      <c r="C52" s="8" t="s">
        <v>79</v>
      </c>
      <c r="D52" s="8" t="s">
        <v>21</v>
      </c>
    </row>
    <row r="53" ht="15.75" customHeight="1">
      <c r="A53" s="8">
        <v>2021.0</v>
      </c>
      <c r="B53" s="8">
        <v>9000.0</v>
      </c>
      <c r="C53" s="8" t="s">
        <v>80</v>
      </c>
      <c r="D53" s="8" t="s">
        <v>20</v>
      </c>
    </row>
    <row r="54" ht="15.75" customHeight="1">
      <c r="A54" s="8">
        <v>2021.0</v>
      </c>
      <c r="B54" s="8">
        <v>20000.0</v>
      </c>
      <c r="C54" s="8" t="s">
        <v>82</v>
      </c>
      <c r="D54" s="8" t="s">
        <v>21</v>
      </c>
    </row>
    <row r="55" ht="15.75" customHeight="1">
      <c r="A55" s="8">
        <v>2022.0</v>
      </c>
      <c r="B55" s="8">
        <v>14000.0</v>
      </c>
      <c r="C55" s="8" t="s">
        <v>80</v>
      </c>
      <c r="D55" s="8" t="s">
        <v>20</v>
      </c>
    </row>
    <row r="56" ht="15.75" customHeight="1">
      <c r="A56" s="8">
        <v>2022.0</v>
      </c>
      <c r="B56" s="8">
        <v>20000.0</v>
      </c>
      <c r="C56" s="8" t="s">
        <v>83</v>
      </c>
      <c r="D56" s="8" t="s">
        <v>21</v>
      </c>
    </row>
    <row r="57" ht="15.75" customHeight="1">
      <c r="A57" s="8">
        <v>2023.0</v>
      </c>
      <c r="B57" s="8">
        <v>12000.0</v>
      </c>
      <c r="C57" s="8" t="s">
        <v>85</v>
      </c>
      <c r="D57" s="8" t="s">
        <v>20</v>
      </c>
    </row>
    <row r="58" ht="15.75" customHeight="1">
      <c r="A58" s="8">
        <v>2023.0</v>
      </c>
      <c r="B58" s="8">
        <v>20000.0</v>
      </c>
      <c r="C58" s="8" t="s">
        <v>83</v>
      </c>
      <c r="D58" s="8" t="s">
        <v>21</v>
      </c>
    </row>
    <row r="59" ht="15.75" customHeight="1">
      <c r="A59" s="8">
        <v>2024.0</v>
      </c>
      <c r="B59" s="8">
        <v>11800.0</v>
      </c>
      <c r="C59" s="8" t="s">
        <v>87</v>
      </c>
      <c r="D59" s="8" t="s">
        <v>20</v>
      </c>
    </row>
    <row r="60" ht="15.75" customHeight="1">
      <c r="A60" s="8">
        <v>2024.0</v>
      </c>
      <c r="B60" s="8">
        <v>25000.0</v>
      </c>
      <c r="C60" s="8" t="s">
        <v>89</v>
      </c>
      <c r="D60" s="8" t="s">
        <v>21</v>
      </c>
    </row>
    <row r="61" ht="15.75" customHeight="1">
      <c r="A61" s="8">
        <v>2024.0</v>
      </c>
      <c r="B61" s="8">
        <v>15000.0</v>
      </c>
      <c r="C61" s="8" t="s">
        <v>52</v>
      </c>
      <c r="D61" s="8" t="s">
        <v>11</v>
      </c>
    </row>
    <row r="62" ht="15.75" customHeight="1">
      <c r="A62" s="8">
        <v>2025.0</v>
      </c>
      <c r="B62" s="8">
        <v>22000.0</v>
      </c>
      <c r="C62" s="8" t="s">
        <v>85</v>
      </c>
      <c r="D62" s="8" t="s">
        <v>20</v>
      </c>
    </row>
    <row r="63" ht="15.75" customHeight="1">
      <c r="A63" s="8">
        <v>2025.0</v>
      </c>
      <c r="B63" s="8">
        <v>30000.0</v>
      </c>
      <c r="C63" s="8" t="s">
        <v>21</v>
      </c>
      <c r="D63" s="8" t="s">
        <v>21</v>
      </c>
    </row>
    <row r="64" ht="15.75" customHeight="1">
      <c r="A64" s="8">
        <v>2026.0</v>
      </c>
      <c r="B64" s="8">
        <v>30000.0</v>
      </c>
      <c r="C64" s="8" t="s">
        <v>21</v>
      </c>
      <c r="D64" s="8" t="s">
        <v>21</v>
      </c>
    </row>
    <row r="65" ht="15.75" customHeight="1">
      <c r="A65" s="19">
        <v>2026.0</v>
      </c>
      <c r="B65" s="19">
        <v>11000.0</v>
      </c>
      <c r="C65" s="19" t="s">
        <v>40</v>
      </c>
      <c r="D65" s="19" t="s">
        <v>20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">
    <mergeCell ref="E1:M1"/>
  </mergeCells>
  <conditionalFormatting sqref="A2:A12 B2:D65 A15:A65">
    <cfRule type="expression" dxfId="0" priority="1">
      <formula>$D2="policja"</formula>
    </cfRule>
  </conditionalFormatting>
  <conditionalFormatting sqref="A2:A12 B2:D65 A15:A65">
    <cfRule type="expression" dxfId="1" priority="2">
      <formula>$D2="prasa"</formula>
    </cfRule>
  </conditionalFormatting>
  <conditionalFormatting sqref="A2:A12 B2:D65 A15:A65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  <c r="H1" s="1" t="s">
        <v>18</v>
      </c>
    </row>
    <row r="2">
      <c r="A2" s="11">
        <v>1996.0</v>
      </c>
      <c r="B2" s="17">
        <f>IFERROR(AVERAGEIFS(Dane_Revo!$B$2:$B$65,Dane_Revo!$A$2:$A$65,$A2,Dane_Revo!$D$2:$D$65,"prasa"),"")</f>
        <v>10000</v>
      </c>
      <c r="C2" s="17" t="str">
        <f>IFERROR(AVERAGEIFS(Dane_Revo!$B$2:$B$65,Dane_Revo!$A$2:$A$65,$A2,Dane_Revo!$D$2:$D$65,"organizatorzy"),"")</f>
        <v/>
      </c>
      <c r="D2" s="17" t="str">
        <f>IFERROR(AVERAGEIFS(Dane_Revo!$B$2:$B$65,Dane_Revo!$A$2:$A$65,$A2,Dane_Revo!$D$2:$D$65,"policja"),"")</f>
        <v/>
      </c>
      <c r="E2" s="20">
        <f t="shared" ref="E2:E32" si="1">IFERROR((0.5*IF(B2&lt;&gt;"",B2,0) + 0.25*IF(C2&lt;&gt;"",C2,0) + 0.25*IF(D2&lt;&gt;"",D2,0))/(0.5*IF(B2&lt;&gt;"",1,0) + 0.25*IF(C2&lt;&gt;"",1,0) + 0.25*IF(D2&lt;&gt;"",1,0)),"")</f>
        <v>10000</v>
      </c>
      <c r="F2" s="20">
        <f>IFERROR(AVERAGEIFS(Dane_Revo!$B$2:$B$65,Dane_Revo!$A$2:$A$65,$A2),"")</f>
        <v>10000</v>
      </c>
      <c r="G2" s="21">
        <f t="shared" ref="G2:G32" si="2">E2-F2</f>
        <v>0</v>
      </c>
    </row>
    <row r="3">
      <c r="A3" s="11">
        <v>1997.0</v>
      </c>
      <c r="B3" s="17">
        <f>IFERROR(AVERAGEIFS(Dane_Revo!$B$2:$B$65,Dane_Revo!$A$2:$A$65,$A3,Dane_Revo!$D$2:$D$65,"prasa"),"")</f>
        <v>9000</v>
      </c>
      <c r="C3" s="17" t="str">
        <f>IFERROR(AVERAGEIFS(Dane_Revo!$B$2:$B$65,Dane_Revo!$A$2:$A$65,$A3,Dane_Revo!$D$2:$D$65,"organizatorzy"),"")</f>
        <v/>
      </c>
      <c r="D3" s="17" t="str">
        <f>IFERROR(AVERAGEIFS(Dane_Revo!$B$2:$B$65,Dane_Revo!$A$2:$A$65,$A3,Dane_Revo!$D$2:$D$65,"policja"),"")</f>
        <v/>
      </c>
      <c r="E3" s="20">
        <f t="shared" si="1"/>
        <v>9000</v>
      </c>
      <c r="F3" s="20">
        <f>IFERROR(AVERAGEIFS(Dane_Revo!$B$2:$B$65,Dane_Revo!$A$2:$A$65,$A3),"")</f>
        <v>9000</v>
      </c>
      <c r="G3" s="21">
        <f t="shared" si="2"/>
        <v>0</v>
      </c>
      <c r="H3" s="21">
        <f t="shared" ref="H3:H31" si="3">AVERAGE(F2:F4)</f>
        <v>8555.555556</v>
      </c>
    </row>
    <row r="4">
      <c r="A4" s="11">
        <v>1998.0</v>
      </c>
      <c r="B4" s="17">
        <f>IFERROR(AVERAGEIFS(Dane_Revo!$B$2:$B$65,Dane_Revo!$A$2:$A$65,$A4,Dane_Revo!$D$2:$D$65,"prasa"),"")</f>
        <v>3000</v>
      </c>
      <c r="C4" s="17">
        <f>IFERROR(AVERAGEIFS(Dane_Revo!$B$2:$B$65,Dane_Revo!$A$2:$A$65,$A4,Dane_Revo!$D$2:$D$65,"organizatorzy"),"")</f>
        <v>11000</v>
      </c>
      <c r="D4" s="17">
        <f>IFERROR(AVERAGEIFS(Dane_Revo!$B$2:$B$65,Dane_Revo!$A$2:$A$65,$A4,Dane_Revo!$D$2:$D$65,"policja"),"")</f>
        <v>6000</v>
      </c>
      <c r="E4" s="20">
        <f t="shared" si="1"/>
        <v>5750</v>
      </c>
      <c r="F4" s="20">
        <f>IFERROR(AVERAGEIFS(Dane_Revo!$B$2:$B$65,Dane_Revo!$A$2:$A$65,$A4),"")</f>
        <v>6666.666667</v>
      </c>
      <c r="G4" s="21">
        <f t="shared" si="2"/>
        <v>-916.6666667</v>
      </c>
      <c r="H4" s="21">
        <f t="shared" si="3"/>
        <v>9888.888889</v>
      </c>
    </row>
    <row r="5">
      <c r="A5" s="11">
        <v>1999.0</v>
      </c>
      <c r="B5" s="17">
        <f>IFERROR(AVERAGEIFS(Dane_Revo!$B$2:$B$65,Dane_Revo!$A$2:$A$65,$A5,Dane_Revo!$D$2:$D$65,"prasa"),"")</f>
        <v>14000</v>
      </c>
      <c r="C5" s="17" t="str">
        <f>IFERROR(AVERAGEIFS(Dane_Revo!$B$2:$B$65,Dane_Revo!$A$2:$A$65,$A5,Dane_Revo!$D$2:$D$65,"organizatorzy"),"")</f>
        <v/>
      </c>
      <c r="D5" s="17" t="str">
        <f>IFERROR(AVERAGEIFS(Dane_Revo!$B$2:$B$65,Dane_Revo!$A$2:$A$65,$A5,Dane_Revo!$D$2:$D$65,"policja"),"")</f>
        <v/>
      </c>
      <c r="E5" s="20">
        <f t="shared" si="1"/>
        <v>14000</v>
      </c>
      <c r="F5" s="20">
        <f>IFERROR(AVERAGEIFS(Dane_Revo!$B$2:$B$65,Dane_Revo!$A$2:$A$65,$A5),"")</f>
        <v>14000</v>
      </c>
      <c r="G5" s="21">
        <f t="shared" si="2"/>
        <v>0</v>
      </c>
      <c r="H5" s="21">
        <f t="shared" si="3"/>
        <v>11333.33333</v>
      </c>
    </row>
    <row r="6">
      <c r="A6" s="11">
        <v>2000.0</v>
      </c>
      <c r="B6" s="17">
        <f>IFERROR(AVERAGEIFS(Dane_Revo!$B$2:$B$65,Dane_Revo!$A$2:$A$65,$A6,Dane_Revo!$D$2:$D$65,"prasa"),"")</f>
        <v>15000</v>
      </c>
      <c r="C6" s="17">
        <f>IFERROR(AVERAGEIFS(Dane_Revo!$B$2:$B$65,Dane_Revo!$A$2:$A$65,$A6,Dane_Revo!$D$2:$D$65,"organizatorzy"),"")</f>
        <v>20000</v>
      </c>
      <c r="D6" s="17">
        <f>IFERROR(AVERAGEIFS(Dane_Revo!$B$2:$B$65,Dane_Revo!$A$2:$A$65,$A6,Dane_Revo!$D$2:$D$65,"policja"),"")</f>
        <v>5000</v>
      </c>
      <c r="E6" s="20">
        <f t="shared" si="1"/>
        <v>13750</v>
      </c>
      <c r="F6" s="20">
        <f>IFERROR(AVERAGEIFS(Dane_Revo!$B$2:$B$65,Dane_Revo!$A$2:$A$65,$A6),"")</f>
        <v>13333.33333</v>
      </c>
      <c r="G6" s="21">
        <f t="shared" si="2"/>
        <v>416.6666667</v>
      </c>
      <c r="H6" s="21">
        <f t="shared" si="3"/>
        <v>10944.44444</v>
      </c>
    </row>
    <row r="7">
      <c r="A7" s="11">
        <v>2001.0</v>
      </c>
      <c r="B7" s="17">
        <f>IFERROR(AVERAGEIFS(Dane_Revo!$B$2:$B$65,Dane_Revo!$A$2:$A$65,$A7,Dane_Revo!$D$2:$D$65,"prasa"),"")</f>
        <v>5500</v>
      </c>
      <c r="C7" s="17" t="str">
        <f>IFERROR(AVERAGEIFS(Dane_Revo!$B$2:$B$65,Dane_Revo!$A$2:$A$65,$A7,Dane_Revo!$D$2:$D$65,"organizatorzy"),"")</f>
        <v/>
      </c>
      <c r="D7" s="17" t="str">
        <f>IFERROR(AVERAGEIFS(Dane_Revo!$B$2:$B$65,Dane_Revo!$A$2:$A$65,$A7,Dane_Revo!$D$2:$D$65,"policja"),"")</f>
        <v/>
      </c>
      <c r="E7" s="20">
        <f t="shared" si="1"/>
        <v>5500</v>
      </c>
      <c r="F7" s="20">
        <f>IFERROR(AVERAGEIFS(Dane_Revo!$B$2:$B$65,Dane_Revo!$A$2:$A$65,$A7),"")</f>
        <v>5500</v>
      </c>
      <c r="G7" s="21">
        <f t="shared" si="2"/>
        <v>0</v>
      </c>
      <c r="H7" s="21">
        <f t="shared" si="3"/>
        <v>9444.444444</v>
      </c>
    </row>
    <row r="8">
      <c r="A8" s="11">
        <v>2002.0</v>
      </c>
      <c r="B8" s="17">
        <f>IFERROR(AVERAGEIFS(Dane_Revo!$B$2:$B$65,Dane_Revo!$A$2:$A$65,$A8,Dane_Revo!$D$2:$D$65,"prasa"),"")</f>
        <v>9500</v>
      </c>
      <c r="C8" s="17" t="str">
        <f>IFERROR(AVERAGEIFS(Dane_Revo!$B$2:$B$65,Dane_Revo!$A$2:$A$65,$A8,Dane_Revo!$D$2:$D$65,"organizatorzy"),"")</f>
        <v/>
      </c>
      <c r="D8" s="17" t="str">
        <f>IFERROR(AVERAGEIFS(Dane_Revo!$B$2:$B$65,Dane_Revo!$A$2:$A$65,$A8,Dane_Revo!$D$2:$D$65,"policja"),"")</f>
        <v/>
      </c>
      <c r="E8" s="20">
        <f t="shared" si="1"/>
        <v>9500</v>
      </c>
      <c r="F8" s="20">
        <f>IFERROR(AVERAGEIFS(Dane_Revo!$B$2:$B$65,Dane_Revo!$A$2:$A$65,$A8),"")</f>
        <v>9500</v>
      </c>
      <c r="G8" s="21">
        <f t="shared" si="2"/>
        <v>0</v>
      </c>
      <c r="H8" s="21">
        <f t="shared" si="3"/>
        <v>6166.666667</v>
      </c>
    </row>
    <row r="9">
      <c r="A9" s="11">
        <v>2003.0</v>
      </c>
      <c r="B9" s="17">
        <f>IFERROR(AVERAGEIFS(Dane_Revo!$B$2:$B$65,Dane_Revo!$A$2:$A$65,$A9,Dane_Revo!$D$2:$D$65,"prasa"),"")</f>
        <v>3500</v>
      </c>
      <c r="C9" s="17" t="str">
        <f>IFERROR(AVERAGEIFS(Dane_Revo!$B$2:$B$65,Dane_Revo!$A$2:$A$65,$A9,Dane_Revo!$D$2:$D$65,"organizatorzy"),"")</f>
        <v/>
      </c>
      <c r="D9" s="17" t="str">
        <f>IFERROR(AVERAGEIFS(Dane_Revo!$B$2:$B$65,Dane_Revo!$A$2:$A$65,$A9,Dane_Revo!$D$2:$D$65,"policja"),"")</f>
        <v/>
      </c>
      <c r="E9" s="20">
        <f t="shared" si="1"/>
        <v>3500</v>
      </c>
      <c r="F9" s="20">
        <f>IFERROR(AVERAGEIFS(Dane_Revo!$B$2:$B$65,Dane_Revo!$A$2:$A$65,$A9),"")</f>
        <v>3500</v>
      </c>
      <c r="G9" s="21">
        <f t="shared" si="2"/>
        <v>0</v>
      </c>
      <c r="H9" s="21">
        <f t="shared" si="3"/>
        <v>5500</v>
      </c>
    </row>
    <row r="10">
      <c r="A10" s="11">
        <v>2004.0</v>
      </c>
      <c r="B10" s="17">
        <f>IFERROR(AVERAGEIFS(Dane_Revo!$B$2:$B$65,Dane_Revo!$A$2:$A$65,$A10,Dane_Revo!$D$2:$D$65,"prasa"),"")</f>
        <v>3500</v>
      </c>
      <c r="C10" s="17" t="str">
        <f>IFERROR(AVERAGEIFS(Dane_Revo!$B$2:$B$65,Dane_Revo!$A$2:$A$65,$A10,Dane_Revo!$D$2:$D$65,"organizatorzy"),"")</f>
        <v/>
      </c>
      <c r="D10" s="17" t="str">
        <f>IFERROR(AVERAGEIFS(Dane_Revo!$B$2:$B$65,Dane_Revo!$A$2:$A$65,$A10,Dane_Revo!$D$2:$D$65,"policja"),"")</f>
        <v/>
      </c>
      <c r="E10" s="20">
        <f t="shared" si="1"/>
        <v>3500</v>
      </c>
      <c r="F10" s="20">
        <f>IFERROR(AVERAGEIFS(Dane_Revo!$B$2:$B$65,Dane_Revo!$A$2:$A$65,$A10),"")</f>
        <v>3500</v>
      </c>
      <c r="G10" s="21">
        <f t="shared" si="2"/>
        <v>0</v>
      </c>
      <c r="H10" s="21">
        <f t="shared" si="3"/>
        <v>2333.333333</v>
      </c>
    </row>
    <row r="11">
      <c r="A11" s="11">
        <v>2005.0</v>
      </c>
      <c r="B11" s="17" t="str">
        <f>IFERROR(AVERAGEIFS(Dane_Revo!$B$2:$B$65,Dane_Revo!$A$2:$A$65,$A11,Dane_Revo!$D$2:$D$65,"prasa"),"")</f>
        <v/>
      </c>
      <c r="C11" s="17" t="str">
        <f>IFERROR(AVERAGEIFS(Dane_Revo!$B$2:$B$65,Dane_Revo!$A$2:$A$65,$A11,Dane_Revo!$D$2:$D$65,"organizatorzy"),"")</f>
        <v/>
      </c>
      <c r="D11" s="17" t="str">
        <f>IFERROR(AVERAGEIFS(Dane_Revo!$B$2:$B$65,Dane_Revo!$A$2:$A$65,$A11,Dane_Revo!$D$2:$D$65,"policja"),"")</f>
        <v/>
      </c>
      <c r="E11" s="20" t="str">
        <f t="shared" si="1"/>
        <v/>
      </c>
      <c r="F11" s="20">
        <f>IFERROR(AVERAGEIFS(Dane_Revo!$B$2:$B$65,Dane_Revo!$A$2:$A$65,$A11),"")</f>
        <v>0</v>
      </c>
      <c r="G11" s="21">
        <f t="shared" si="2"/>
        <v>0</v>
      </c>
      <c r="H11" s="21">
        <f t="shared" si="3"/>
        <v>1166.666667</v>
      </c>
    </row>
    <row r="12">
      <c r="A12" s="11">
        <v>2006.0</v>
      </c>
      <c r="B12" s="17" t="str">
        <f>IFERROR(AVERAGEIFS(Dane_Revo!$B$2:$B$65,Dane_Revo!$A$2:$A$65,$A12,Dane_Revo!$D$2:$D$65,"prasa"),"")</f>
        <v/>
      </c>
      <c r="C12" s="17" t="str">
        <f>IFERROR(AVERAGEIFS(Dane_Revo!$B$2:$B$65,Dane_Revo!$A$2:$A$65,$A12,Dane_Revo!$D$2:$D$65,"organizatorzy"),"")</f>
        <v/>
      </c>
      <c r="D12" s="17" t="str">
        <f>IFERROR(AVERAGEIFS(Dane_Revo!$B$2:$B$65,Dane_Revo!$A$2:$A$65,$A12,Dane_Revo!$D$2:$D$65,"policja"),"")</f>
        <v/>
      </c>
      <c r="E12" s="20" t="str">
        <f t="shared" si="1"/>
        <v/>
      </c>
      <c r="F12" s="20">
        <f>IFERROR(AVERAGEIFS(Dane_Revo!$B$2:$B$65,Dane_Revo!$A$2:$A$65,$A12),"")</f>
        <v>0</v>
      </c>
      <c r="G12" s="21">
        <f t="shared" si="2"/>
        <v>0</v>
      </c>
      <c r="H12" s="21">
        <f t="shared" si="3"/>
        <v>2555.555556</v>
      </c>
    </row>
    <row r="13">
      <c r="A13" s="11">
        <v>2007.0</v>
      </c>
      <c r="B13" s="17">
        <f>IFERROR(AVERAGEIFS(Dane_Revo!$B$2:$B$65,Dane_Revo!$A$2:$A$65,$A13,Dane_Revo!$D$2:$D$65,"prasa"),"")</f>
        <v>5000</v>
      </c>
      <c r="C13" s="17">
        <f>IFERROR(AVERAGEIFS(Dane_Revo!$B$2:$B$65,Dane_Revo!$A$2:$A$65,$A13,Dane_Revo!$D$2:$D$65,"organizatorzy"),"")</f>
        <v>15000</v>
      </c>
      <c r="D13" s="17">
        <f>IFERROR(AVERAGEIFS(Dane_Revo!$B$2:$B$65,Dane_Revo!$A$2:$A$65,$A13,Dane_Revo!$D$2:$D$65,"policja"),"")</f>
        <v>3000</v>
      </c>
      <c r="E13" s="20">
        <f t="shared" si="1"/>
        <v>7000</v>
      </c>
      <c r="F13" s="20">
        <f>IFERROR(AVERAGEIFS(Dane_Revo!$B$2:$B$65,Dane_Revo!$A$2:$A$65,$A13),"")</f>
        <v>7666.666667</v>
      </c>
      <c r="G13" s="21">
        <f t="shared" si="2"/>
        <v>-666.6666667</v>
      </c>
      <c r="H13" s="21">
        <f t="shared" si="3"/>
        <v>6222.222222</v>
      </c>
    </row>
    <row r="14">
      <c r="A14" s="11">
        <v>2008.0</v>
      </c>
      <c r="B14" s="17" t="str">
        <f>IFERROR(AVERAGEIFS(Dane_Revo!$B$2:$B$65,Dane_Revo!$A$2:$A$65,$A14,Dane_Revo!$D$2:$D$65,"prasa"),"")</f>
        <v/>
      </c>
      <c r="C14" s="17">
        <f>IFERROR(AVERAGEIFS(Dane_Revo!$B$2:$B$65,Dane_Revo!$A$2:$A$65,$A14,Dane_Revo!$D$2:$D$65,"organizatorzy"),"")</f>
        <v>12000</v>
      </c>
      <c r="D14" s="17">
        <f>IFERROR(AVERAGEIFS(Dane_Revo!$B$2:$B$65,Dane_Revo!$A$2:$A$65,$A14,Dane_Revo!$D$2:$D$65,"policja"),"")</f>
        <v>10000</v>
      </c>
      <c r="E14" s="20">
        <f t="shared" si="1"/>
        <v>11000</v>
      </c>
      <c r="F14" s="20">
        <f>IFERROR(AVERAGEIFS(Dane_Revo!$B$2:$B$65,Dane_Revo!$A$2:$A$65,$A14),"")</f>
        <v>11000</v>
      </c>
      <c r="G14" s="21">
        <f t="shared" si="2"/>
        <v>0</v>
      </c>
      <c r="H14" s="21">
        <f t="shared" si="3"/>
        <v>9055.555556</v>
      </c>
    </row>
    <row r="15" ht="15.75" customHeight="1">
      <c r="A15" s="11">
        <v>2009.0</v>
      </c>
      <c r="B15" s="17" t="str">
        <f>IFERROR(AVERAGEIFS(Dane_Revo!$B$2:$B$65,Dane_Revo!$A$2:$A$65,$A15,Dane_Revo!$D$2:$D$65,"prasa"),"")</f>
        <v/>
      </c>
      <c r="C15" s="17">
        <f>IFERROR(AVERAGEIFS(Dane_Revo!$B$2:$B$65,Dane_Revo!$A$2:$A$65,$A15,Dane_Revo!$D$2:$D$65,"organizatorzy"),"")</f>
        <v>12000</v>
      </c>
      <c r="D15" s="17">
        <f>IFERROR(AVERAGEIFS(Dane_Revo!$B$2:$B$65,Dane_Revo!$A$2:$A$65,$A15,Dane_Revo!$D$2:$D$65,"policja"),"")</f>
        <v>5000</v>
      </c>
      <c r="E15" s="20">
        <f t="shared" si="1"/>
        <v>8500</v>
      </c>
      <c r="F15" s="20">
        <f>IFERROR(AVERAGEIFS(Dane_Revo!$B$2:$B$65,Dane_Revo!$A$2:$A$65,$A15),"")</f>
        <v>8500</v>
      </c>
      <c r="G15" s="21">
        <f t="shared" si="2"/>
        <v>0</v>
      </c>
      <c r="H15" s="21">
        <f t="shared" si="3"/>
        <v>10666.66667</v>
      </c>
    </row>
    <row r="16" ht="15.75" customHeight="1">
      <c r="A16" s="11">
        <v>2010.0</v>
      </c>
      <c r="B16" s="17" t="str">
        <f>IFERROR(AVERAGEIFS(Dane_Revo!$B$2:$B$65,Dane_Revo!$A$2:$A$65,$A16,Dane_Revo!$D$2:$D$65,"prasa"),"")</f>
        <v/>
      </c>
      <c r="C16" s="17">
        <f>IFERROR(AVERAGEIFS(Dane_Revo!$B$2:$B$65,Dane_Revo!$A$2:$A$65,$A16,Dane_Revo!$D$2:$D$65,"organizatorzy"),"")</f>
        <v>15000</v>
      </c>
      <c r="D16" s="17">
        <f>IFERROR(AVERAGEIFS(Dane_Revo!$B$2:$B$65,Dane_Revo!$A$2:$A$65,$A16,Dane_Revo!$D$2:$D$65,"policja"),"")</f>
        <v>10000</v>
      </c>
      <c r="E16" s="20">
        <f t="shared" si="1"/>
        <v>12500</v>
      </c>
      <c r="F16" s="20">
        <f>IFERROR(AVERAGEIFS(Dane_Revo!$B$2:$B$65,Dane_Revo!$A$2:$A$65,$A16),"")</f>
        <v>12500</v>
      </c>
      <c r="G16" s="21">
        <f t="shared" si="2"/>
        <v>0</v>
      </c>
      <c r="H16" s="21">
        <f t="shared" si="3"/>
        <v>10777.77778</v>
      </c>
    </row>
    <row r="17" ht="15.75" customHeight="1">
      <c r="A17" s="11">
        <v>2011.0</v>
      </c>
      <c r="B17" s="17">
        <f>IFERROR(AVERAGEIFS(Dane_Revo!$B$2:$B$65,Dane_Revo!$A$2:$A$65,$A17,Dane_Revo!$D$2:$D$65,"prasa"),"")</f>
        <v>10000</v>
      </c>
      <c r="C17" s="17">
        <f>IFERROR(AVERAGEIFS(Dane_Revo!$B$2:$B$65,Dane_Revo!$A$2:$A$65,$A17,Dane_Revo!$D$2:$D$65,"organizatorzy"),"")</f>
        <v>15000</v>
      </c>
      <c r="D17" s="17">
        <f>IFERROR(AVERAGEIFS(Dane_Revo!$B$2:$B$65,Dane_Revo!$A$2:$A$65,$A17,Dane_Revo!$D$2:$D$65,"policja"),"")</f>
        <v>9000</v>
      </c>
      <c r="E17" s="20">
        <f t="shared" si="1"/>
        <v>11000</v>
      </c>
      <c r="F17" s="20">
        <f>IFERROR(AVERAGEIFS(Dane_Revo!$B$2:$B$65,Dane_Revo!$A$2:$A$65,$A17),"")</f>
        <v>11333.33333</v>
      </c>
      <c r="G17" s="21">
        <f t="shared" si="2"/>
        <v>-333.3333333</v>
      </c>
      <c r="H17" s="21">
        <f t="shared" si="3"/>
        <v>14111.11111</v>
      </c>
    </row>
    <row r="18" ht="15.75" customHeight="1">
      <c r="A18" s="11">
        <v>2012.0</v>
      </c>
      <c r="B18" s="17">
        <f>IFERROR(AVERAGEIFS(Dane_Revo!$B$2:$B$65,Dane_Revo!$A$2:$A$65,$A18,Dane_Revo!$D$2:$D$65,"prasa"),"")</f>
        <v>12000</v>
      </c>
      <c r="C18" s="17">
        <f>IFERROR(AVERAGEIFS(Dane_Revo!$B$2:$B$65,Dane_Revo!$A$2:$A$65,$A18,Dane_Revo!$D$2:$D$65,"organizatorzy"),"")</f>
        <v>25000</v>
      </c>
      <c r="D18" s="17" t="str">
        <f>IFERROR(AVERAGEIFS(Dane_Revo!$B$2:$B$65,Dane_Revo!$A$2:$A$65,$A18,Dane_Revo!$D$2:$D$65,"policja"),"")</f>
        <v/>
      </c>
      <c r="E18" s="20">
        <f t="shared" si="1"/>
        <v>16333.33333</v>
      </c>
      <c r="F18" s="20">
        <f>IFERROR(AVERAGEIFS(Dane_Revo!$B$2:$B$65,Dane_Revo!$A$2:$A$65,$A18),"")</f>
        <v>18500</v>
      </c>
      <c r="G18" s="21">
        <f t="shared" si="2"/>
        <v>-2166.666667</v>
      </c>
      <c r="H18" s="21">
        <f t="shared" si="3"/>
        <v>13833.33333</v>
      </c>
    </row>
    <row r="19" ht="15.75" customHeight="1">
      <c r="A19" s="11">
        <v>2013.0</v>
      </c>
      <c r="B19" s="17">
        <f>IFERROR(AVERAGEIFS(Dane_Revo!$B$2:$B$65,Dane_Revo!$A$2:$A$65,$A19,Dane_Revo!$D$2:$D$65,"prasa"),"")</f>
        <v>10000</v>
      </c>
      <c r="C19" s="17">
        <f>IFERROR(AVERAGEIFS(Dane_Revo!$B$2:$B$65,Dane_Revo!$A$2:$A$65,$A19,Dane_Revo!$D$2:$D$65,"organizatorzy"),"")</f>
        <v>17000</v>
      </c>
      <c r="D19" s="17">
        <f>IFERROR(AVERAGEIFS(Dane_Revo!$B$2:$B$65,Dane_Revo!$A$2:$A$65,$A19,Dane_Revo!$D$2:$D$65,"policja"),"")</f>
        <v>8000</v>
      </c>
      <c r="E19" s="20">
        <f t="shared" si="1"/>
        <v>11250</v>
      </c>
      <c r="F19" s="20">
        <f>IFERROR(AVERAGEIFS(Dane_Revo!$B$2:$B$65,Dane_Revo!$A$2:$A$65,$A19),"")</f>
        <v>11666.66667</v>
      </c>
      <c r="G19" s="21">
        <f t="shared" si="2"/>
        <v>-416.6666667</v>
      </c>
      <c r="H19" s="21">
        <f t="shared" si="3"/>
        <v>17388.88889</v>
      </c>
    </row>
    <row r="20" ht="15.75" customHeight="1">
      <c r="A20" s="11">
        <v>2014.0</v>
      </c>
      <c r="B20" s="17" t="str">
        <f>IFERROR(AVERAGEIFS(Dane_Revo!$B$2:$B$65,Dane_Revo!$A$2:$A$65,$A20,Dane_Revo!$D$2:$D$65,"prasa"),"")</f>
        <v/>
      </c>
      <c r="C20" s="17">
        <f>IFERROR(AVERAGEIFS(Dane_Revo!$B$2:$B$65,Dane_Revo!$A$2:$A$65,$A20,Dane_Revo!$D$2:$D$65,"organizatorzy"),"")</f>
        <v>25000</v>
      </c>
      <c r="D20" s="17">
        <f>IFERROR(AVERAGEIFS(Dane_Revo!$B$2:$B$65,Dane_Revo!$A$2:$A$65,$A20,Dane_Revo!$D$2:$D$65,"policja"),"")</f>
        <v>19000</v>
      </c>
      <c r="E20" s="20">
        <f t="shared" si="1"/>
        <v>22000</v>
      </c>
      <c r="F20" s="20">
        <f>IFERROR(AVERAGEIFS(Dane_Revo!$B$2:$B$65,Dane_Revo!$A$2:$A$65,$A20),"")</f>
        <v>22000</v>
      </c>
      <c r="G20" s="21">
        <f t="shared" si="2"/>
        <v>0</v>
      </c>
      <c r="H20" s="21">
        <f t="shared" si="3"/>
        <v>19722.22222</v>
      </c>
    </row>
    <row r="21" ht="15.75" customHeight="1">
      <c r="A21" s="11">
        <v>2015.0</v>
      </c>
      <c r="B21" s="17" t="str">
        <f>IFERROR(AVERAGEIFS(Dane_Revo!$B$2:$B$65,Dane_Revo!$A$2:$A$65,$A21,Dane_Revo!$D$2:$D$65,"prasa"),"")</f>
        <v/>
      </c>
      <c r="C21" s="17">
        <f>IFERROR(AVERAGEIFS(Dane_Revo!$B$2:$B$65,Dane_Revo!$A$2:$A$65,$A21,Dane_Revo!$D$2:$D$65,"organizatorzy"),"")</f>
        <v>33000</v>
      </c>
      <c r="D21" s="17">
        <f>IFERROR(AVERAGEIFS(Dane_Revo!$B$2:$B$65,Dane_Revo!$A$2:$A$65,$A21,Dane_Revo!$D$2:$D$65,"policja"),"")</f>
        <v>18000</v>
      </c>
      <c r="E21" s="20">
        <f t="shared" si="1"/>
        <v>25500</v>
      </c>
      <c r="F21" s="20">
        <f>IFERROR(AVERAGEIFS(Dane_Revo!$B$2:$B$65,Dane_Revo!$A$2:$A$65,$A21),"")</f>
        <v>25500</v>
      </c>
      <c r="G21" s="21">
        <f t="shared" si="2"/>
        <v>0</v>
      </c>
      <c r="H21" s="21">
        <f t="shared" si="3"/>
        <v>21333.33333</v>
      </c>
    </row>
    <row r="22" ht="15.75" customHeight="1">
      <c r="A22" s="11">
        <v>2016.0</v>
      </c>
      <c r="B22" s="17" t="str">
        <f>IFERROR(AVERAGEIFS(Dane_Revo!$B$2:$B$65,Dane_Revo!$A$2:$A$65,$A22,Dane_Revo!$D$2:$D$65,"prasa"),"")</f>
        <v/>
      </c>
      <c r="C22" s="17">
        <f>IFERROR(AVERAGEIFS(Dane_Revo!$B$2:$B$65,Dane_Revo!$A$2:$A$65,$A22,Dane_Revo!$D$2:$D$65,"organizatorzy"),"")</f>
        <v>20000</v>
      </c>
      <c r="D22" s="17">
        <f>IFERROR(AVERAGEIFS(Dane_Revo!$B$2:$B$65,Dane_Revo!$A$2:$A$65,$A22,Dane_Revo!$D$2:$D$65,"policja"),"")</f>
        <v>13000</v>
      </c>
      <c r="E22" s="20">
        <f t="shared" si="1"/>
        <v>16500</v>
      </c>
      <c r="F22" s="20">
        <f>IFERROR(AVERAGEIFS(Dane_Revo!$B$2:$B$65,Dane_Revo!$A$2:$A$65,$A22),"")</f>
        <v>16500</v>
      </c>
      <c r="G22" s="21">
        <f t="shared" si="2"/>
        <v>0</v>
      </c>
      <c r="H22" s="21">
        <f t="shared" si="3"/>
        <v>19000</v>
      </c>
    </row>
    <row r="23" ht="15.75" customHeight="1">
      <c r="A23" s="11">
        <v>2017.0</v>
      </c>
      <c r="B23" s="17" t="str">
        <f>IFERROR(AVERAGEIFS(Dane_Revo!$B$2:$B$65,Dane_Revo!$A$2:$A$65,$A23,Dane_Revo!$D$2:$D$65,"prasa"),"")</f>
        <v/>
      </c>
      <c r="C23" s="17">
        <f>IFERROR(AVERAGEIFS(Dane_Revo!$B$2:$B$65,Dane_Revo!$A$2:$A$65,$A23,Dane_Revo!$D$2:$D$65,"organizatorzy"),"")</f>
        <v>20000</v>
      </c>
      <c r="D23" s="17">
        <f>IFERROR(AVERAGEIFS(Dane_Revo!$B$2:$B$65,Dane_Revo!$A$2:$A$65,$A23,Dane_Revo!$D$2:$D$65,"policja"),"")</f>
        <v>10000</v>
      </c>
      <c r="E23" s="20">
        <f t="shared" si="1"/>
        <v>15000</v>
      </c>
      <c r="F23" s="20">
        <f>IFERROR(AVERAGEIFS(Dane_Revo!$B$2:$B$65,Dane_Revo!$A$2:$A$65,$A23),"")</f>
        <v>15000</v>
      </c>
      <c r="G23" s="21">
        <f t="shared" si="2"/>
        <v>0</v>
      </c>
      <c r="H23" s="21">
        <f t="shared" si="3"/>
        <v>14666.66667</v>
      </c>
    </row>
    <row r="24" ht="15.75" customHeight="1">
      <c r="A24" s="11">
        <v>2018.0</v>
      </c>
      <c r="B24" s="17" t="str">
        <f>IFERROR(AVERAGEIFS(Dane_Revo!$B$2:$B$65,Dane_Revo!$A$2:$A$65,$A24,Dane_Revo!$D$2:$D$65,"prasa"),"")</f>
        <v/>
      </c>
      <c r="C24" s="17">
        <f>IFERROR(AVERAGEIFS(Dane_Revo!$B$2:$B$65,Dane_Revo!$A$2:$A$65,$A24,Dane_Revo!$D$2:$D$65,"organizatorzy"),"")</f>
        <v>18000</v>
      </c>
      <c r="D24" s="17">
        <f>IFERROR(AVERAGEIFS(Dane_Revo!$B$2:$B$65,Dane_Revo!$A$2:$A$65,$A24,Dane_Revo!$D$2:$D$65,"policja"),"")</f>
        <v>7000</v>
      </c>
      <c r="E24" s="20">
        <f t="shared" si="1"/>
        <v>12500</v>
      </c>
      <c r="F24" s="20">
        <f>IFERROR(AVERAGEIFS(Dane_Revo!$B$2:$B$65,Dane_Revo!$A$2:$A$65,$A24),"")</f>
        <v>12500</v>
      </c>
      <c r="G24" s="21">
        <f t="shared" si="2"/>
        <v>0</v>
      </c>
      <c r="H24" s="21">
        <f t="shared" si="3"/>
        <v>12500</v>
      </c>
    </row>
    <row r="25" ht="15.75" customHeight="1">
      <c r="A25" s="11">
        <v>2019.0</v>
      </c>
      <c r="B25" s="17">
        <f>IFERROR(AVERAGEIFS(Dane_Revo!$B$2:$B$65,Dane_Revo!$A$2:$A$65,$A25,Dane_Revo!$D$2:$D$65,"prasa"),"")</f>
        <v>10000</v>
      </c>
      <c r="C25" s="17">
        <f>IFERROR(AVERAGEIFS(Dane_Revo!$B$2:$B$65,Dane_Revo!$A$2:$A$65,$A25,Dane_Revo!$D$2:$D$65,"organizatorzy"),"")</f>
        <v>15000</v>
      </c>
      <c r="D25" s="17">
        <f>IFERROR(AVERAGEIFS(Dane_Revo!$B$2:$B$65,Dane_Revo!$A$2:$A$65,$A25,Dane_Revo!$D$2:$D$65,"policja"),"")</f>
        <v>5000</v>
      </c>
      <c r="E25" s="20">
        <f t="shared" si="1"/>
        <v>10000</v>
      </c>
      <c r="F25" s="20">
        <f>IFERROR(AVERAGEIFS(Dane_Revo!$B$2:$B$65,Dane_Revo!$A$2:$A$65,$A25),"")</f>
        <v>10000</v>
      </c>
      <c r="G25" s="21">
        <f t="shared" si="2"/>
        <v>0</v>
      </c>
      <c r="H25" s="21">
        <f t="shared" si="3"/>
        <v>8500</v>
      </c>
    </row>
    <row r="26" ht="15.75" customHeight="1">
      <c r="A26" s="26">
        <v>2020.0</v>
      </c>
      <c r="B26" s="17" t="str">
        <f>IFERROR(AVERAGEIFS(Dane_Revo!$B$2:$B$65,Dane_Revo!$A$2:$A$65,$A26,Dane_Revo!$D$2:$D$65,"prasa"),"")</f>
        <v/>
      </c>
      <c r="C26" s="17">
        <f>IFERROR(AVERAGEIFS(Dane_Revo!$B$2:$B$65,Dane_Revo!$A$2:$A$65,$A26,Dane_Revo!$D$2:$D$65,"organizatorzy"),"")</f>
        <v>3000</v>
      </c>
      <c r="D26" s="17">
        <f>IFERROR(AVERAGEIFS(Dane_Revo!$B$2:$B$65,Dane_Revo!$A$2:$A$65,$A26,Dane_Revo!$D$2:$D$65,"policja"),"")</f>
        <v>3000</v>
      </c>
      <c r="E26" s="20">
        <f t="shared" si="1"/>
        <v>3000</v>
      </c>
      <c r="F26" s="20">
        <f>IFERROR(AVERAGEIFS(Dane_Revo!$B$2:$B$65,Dane_Revo!$A$2:$A$65,$A26),"")</f>
        <v>3000</v>
      </c>
      <c r="G26" s="21">
        <f t="shared" si="2"/>
        <v>0</v>
      </c>
      <c r="H26" s="21">
        <f t="shared" si="3"/>
        <v>9166.666667</v>
      </c>
    </row>
    <row r="27" ht="15.75" customHeight="1">
      <c r="A27" s="26">
        <v>2021.0</v>
      </c>
      <c r="B27" s="17" t="str">
        <f>IFERROR(AVERAGEIFS(Dane_Revo!$B$2:$B$65,Dane_Revo!$A$2:$A$65,$A27,Dane_Revo!$D$2:$D$65,"prasa"),"")</f>
        <v/>
      </c>
      <c r="C27" s="17">
        <f>IFERROR(AVERAGEIFS(Dane_Revo!$B$2:$B$65,Dane_Revo!$A$2:$A$65,$A27,Dane_Revo!$D$2:$D$65,"organizatorzy"),"")</f>
        <v>20000</v>
      </c>
      <c r="D27" s="17">
        <f>IFERROR(AVERAGEIFS(Dane_Revo!$B$2:$B$65,Dane_Revo!$A$2:$A$65,$A27,Dane_Revo!$D$2:$D$65,"policja"),"")</f>
        <v>9000</v>
      </c>
      <c r="E27" s="20">
        <f t="shared" si="1"/>
        <v>14500</v>
      </c>
      <c r="F27" s="20">
        <f>IFERROR(AVERAGEIFS(Dane_Revo!$B$2:$B$65,Dane_Revo!$A$2:$A$65,$A27),"")</f>
        <v>14500</v>
      </c>
      <c r="G27" s="21">
        <f t="shared" si="2"/>
        <v>0</v>
      </c>
      <c r="H27" s="21">
        <f t="shared" si="3"/>
        <v>11500</v>
      </c>
    </row>
    <row r="28" ht="15.75" customHeight="1">
      <c r="A28" s="26">
        <v>2022.0</v>
      </c>
      <c r="B28" s="17" t="str">
        <f>IFERROR(AVERAGEIFS(Dane_Revo!$B$2:$B$65,Dane_Revo!$A$2:$A$65,$A28,Dane_Revo!$D$2:$D$65,"prasa"),"")</f>
        <v/>
      </c>
      <c r="C28" s="17">
        <f>IFERROR(AVERAGEIFS(Dane_Revo!$B$2:$B$65,Dane_Revo!$A$2:$A$65,$A28,Dane_Revo!$D$2:$D$65,"organizatorzy"),"")</f>
        <v>20000</v>
      </c>
      <c r="D28" s="17">
        <f>IFERROR(AVERAGEIFS(Dane_Revo!$B$2:$B$65,Dane_Revo!$A$2:$A$65,$A28,Dane_Revo!$D$2:$D$65,"policja"),"")</f>
        <v>14000</v>
      </c>
      <c r="E28" s="20">
        <f t="shared" si="1"/>
        <v>17000</v>
      </c>
      <c r="F28" s="20">
        <f>IFERROR(AVERAGEIFS(Dane_Revo!$B$2:$B$65,Dane_Revo!$A$2:$A$65,$A28),"")</f>
        <v>17000</v>
      </c>
      <c r="G28" s="21">
        <f t="shared" si="2"/>
        <v>0</v>
      </c>
      <c r="H28" s="21">
        <f t="shared" si="3"/>
        <v>15833.33333</v>
      </c>
    </row>
    <row r="29" ht="15.75" customHeight="1">
      <c r="A29" s="26">
        <v>2023.0</v>
      </c>
      <c r="B29" s="17" t="str">
        <f>IFERROR(AVERAGEIFS(Dane_Revo!$B$2:$B$65,Dane_Revo!$A$2:$A$65,$A29,Dane_Revo!$D$2:$D$65,"prasa"),"")</f>
        <v/>
      </c>
      <c r="C29" s="17">
        <f>IFERROR(AVERAGEIFS(Dane_Revo!$B$2:$B$65,Dane_Revo!$A$2:$A$65,$A29,Dane_Revo!$D$2:$D$65,"organizatorzy"),"")</f>
        <v>20000</v>
      </c>
      <c r="D29" s="17">
        <f>IFERROR(AVERAGEIFS(Dane_Revo!$B$2:$B$65,Dane_Revo!$A$2:$A$65,$A29,Dane_Revo!$D$2:$D$65,"policja"),"")</f>
        <v>12000</v>
      </c>
      <c r="E29" s="20">
        <f t="shared" si="1"/>
        <v>16000</v>
      </c>
      <c r="F29" s="20">
        <f>IFERROR(AVERAGEIFS(Dane_Revo!$B$2:$B$65,Dane_Revo!$A$2:$A$65,$A29),"")</f>
        <v>16000</v>
      </c>
      <c r="G29" s="21">
        <f t="shared" si="2"/>
        <v>0</v>
      </c>
      <c r="H29" s="21">
        <f t="shared" si="3"/>
        <v>16755.55556</v>
      </c>
    </row>
    <row r="30" ht="15.75" customHeight="1">
      <c r="A30" s="26">
        <v>2024.0</v>
      </c>
      <c r="B30" s="17">
        <f>IFERROR(AVERAGEIFS(Dane_Revo!$B$2:$B$65,Dane_Revo!$A$2:$A$65,$A30,Dane_Revo!$D$2:$D$65,"prasa"),"")</f>
        <v>15000</v>
      </c>
      <c r="C30" s="17">
        <f>IFERROR(AVERAGEIFS(Dane_Revo!$B$2:$B$65,Dane_Revo!$A$2:$A$65,$A30,Dane_Revo!$D$2:$D$65,"organizatorzy"),"")</f>
        <v>25000</v>
      </c>
      <c r="D30" s="17">
        <f>IFERROR(AVERAGEIFS(Dane_Revo!$B$2:$B$65,Dane_Revo!$A$2:$A$65,$A30,Dane_Revo!$D$2:$D$65,"policja"),"")</f>
        <v>11800</v>
      </c>
      <c r="E30" s="20">
        <f t="shared" si="1"/>
        <v>16700</v>
      </c>
      <c r="F30" s="20">
        <f>IFERROR(AVERAGEIFS(Dane_Revo!$B$2:$B$65,Dane_Revo!$A$2:$A$65,$A30),"")</f>
        <v>17266.66667</v>
      </c>
      <c r="G30" s="21">
        <f t="shared" si="2"/>
        <v>-566.6666667</v>
      </c>
      <c r="H30" s="21">
        <f t="shared" si="3"/>
        <v>19755.55556</v>
      </c>
    </row>
    <row r="31" ht="15.75" customHeight="1">
      <c r="A31" s="26">
        <v>2025.0</v>
      </c>
      <c r="B31" s="17" t="str">
        <f>IFERROR(AVERAGEIFS(Dane_Revo!$B$2:$B$65,Dane_Revo!$A$2:$A$65,$A31,Dane_Revo!$D$2:$D$65,"prasa"),"")</f>
        <v/>
      </c>
      <c r="C31" s="17">
        <f>IFERROR(AVERAGEIFS(Dane_Revo!$B$2:$B$65,Dane_Revo!$A$2:$A$65,$A31,Dane_Revo!$D$2:$D$65,"organizatorzy"),"")</f>
        <v>30000</v>
      </c>
      <c r="D31" s="17">
        <f>IFERROR(AVERAGEIFS(Dane_Revo!$B$2:$B$65,Dane_Revo!$A$2:$A$65,$A31,Dane_Revo!$D$2:$D$65,"policja"),"")</f>
        <v>22000</v>
      </c>
      <c r="E31" s="20">
        <f t="shared" si="1"/>
        <v>26000</v>
      </c>
      <c r="F31" s="20">
        <f>IFERROR(AVERAGEIFS(Dane_Revo!$B$2:$B$65,Dane_Revo!$A$2:$A$65,$A31),"")</f>
        <v>26000</v>
      </c>
      <c r="G31" s="21">
        <f t="shared" si="2"/>
        <v>0</v>
      </c>
      <c r="H31" s="21">
        <f t="shared" si="3"/>
        <v>21255.55556</v>
      </c>
    </row>
    <row r="32" ht="15.75" customHeight="1">
      <c r="A32" s="26">
        <v>2026.0</v>
      </c>
      <c r="B32" s="17" t="str">
        <f>IFERROR(AVERAGEIFS(Dane_Revo!$B$2:$B$65,Dane_Revo!$A$2:$A$65,$A32,Dane_Revo!$D$2:$D$65,"prasa"),"")</f>
        <v/>
      </c>
      <c r="C32" s="17">
        <f>IFERROR(AVERAGEIFS(Dane_Revo!$B$2:$B$65,Dane_Revo!$A$2:$A$65,$A32,Dane_Revo!$D$2:$D$65,"organizatorzy"),"")</f>
        <v>30000</v>
      </c>
      <c r="D32" s="17">
        <f>IFERROR(AVERAGEIFS(Dane_Revo!$B$2:$B$65,Dane_Revo!$A$2:$A$65,$A32,Dane_Revo!$D$2:$D$65,"policja"),"")</f>
        <v>11000</v>
      </c>
      <c r="E32" s="20">
        <f t="shared" si="1"/>
        <v>20500</v>
      </c>
      <c r="F32" s="20">
        <f>IFERROR(AVERAGEIFS(Dane_Revo!$B$2:$B$65,Dane_Revo!$A$2:$A$65,$A32),"")</f>
        <v>20500</v>
      </c>
      <c r="G32" s="21">
        <f t="shared" si="2"/>
        <v>0</v>
      </c>
    </row>
    <row r="33" ht="15.75" customHeight="1"/>
    <row r="34" ht="15.75" customHeight="1">
      <c r="D34" s="23" t="str">
        <f>IFERROR(__xludf.DUMMYFUNCTION("join("", "",F2:F32)"),"10000, 9000, 6667, 14000, 13333, 5500, 9500, 3500, 3500, 0, 0, 7667, 11000, 8500, 12500, 11333, 18500, 11667, 22000, 25500, 16500, 15000, 12500, 10000, 3000, 14500, 17000, 16000, 17267, 26000, 20500")</f>
        <v>10000, 9000, 6667, 14000, 13333, 5500, 9500, 3500, 3500, 0, 0, 7667, 11000, 8500, 12500, 11333, 18500, 11667, 22000, 25500, 16500, 15000, 12500, 10000, 3000, 14500, 17000, 16000, 17267, 26000, 20500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conditionalFormatting sqref="H3:H37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4" t="s">
        <v>118</v>
      </c>
    </row>
    <row r="2">
      <c r="A2" s="8">
        <v>1992.0</v>
      </c>
      <c r="B2" s="8">
        <v>200.0</v>
      </c>
      <c r="C2" s="8" t="s">
        <v>9</v>
      </c>
      <c r="D2" s="8" t="s">
        <v>11</v>
      </c>
    </row>
    <row r="3">
      <c r="A3" s="8">
        <v>1993.0</v>
      </c>
      <c r="B3" s="8"/>
      <c r="C3" s="8"/>
      <c r="D3" s="8"/>
    </row>
    <row r="4">
      <c r="A4" s="8">
        <v>1994.0</v>
      </c>
      <c r="B4" s="8">
        <v>400.0</v>
      </c>
      <c r="C4" s="8" t="s">
        <v>31</v>
      </c>
      <c r="D4" s="8" t="s">
        <v>11</v>
      </c>
    </row>
    <row r="5">
      <c r="A5" s="10">
        <v>1994.0</v>
      </c>
      <c r="B5" s="10">
        <v>500.0</v>
      </c>
      <c r="C5" s="10" t="s">
        <v>9</v>
      </c>
      <c r="D5" s="10" t="s">
        <v>11</v>
      </c>
    </row>
    <row r="6">
      <c r="A6" s="10">
        <v>1996.0</v>
      </c>
      <c r="B6" s="10">
        <v>40.0</v>
      </c>
      <c r="C6" s="10" t="s">
        <v>119</v>
      </c>
      <c r="D6" s="10" t="s">
        <v>21</v>
      </c>
    </row>
    <row r="7">
      <c r="A7" s="10">
        <v>2000.0</v>
      </c>
      <c r="B7" s="10">
        <v>10000.0</v>
      </c>
      <c r="C7" s="10" t="s">
        <v>17</v>
      </c>
      <c r="D7" s="10" t="s">
        <v>11</v>
      </c>
    </row>
    <row r="8">
      <c r="A8" s="8">
        <v>2001.0</v>
      </c>
      <c r="B8" s="8">
        <v>350.0</v>
      </c>
      <c r="C8" s="8" t="s">
        <v>31</v>
      </c>
      <c r="D8" s="8" t="s">
        <v>11</v>
      </c>
    </row>
    <row r="9">
      <c r="A9" s="8">
        <v>2001.0</v>
      </c>
      <c r="B9" s="8">
        <v>600.0</v>
      </c>
      <c r="C9" s="8" t="s">
        <v>120</v>
      </c>
      <c r="D9" s="8" t="s">
        <v>11</v>
      </c>
    </row>
    <row r="10">
      <c r="A10" s="8">
        <v>2002.0</v>
      </c>
      <c r="B10" s="8">
        <v>1000.0</v>
      </c>
      <c r="C10" s="8" t="s">
        <v>31</v>
      </c>
      <c r="D10" s="8" t="s">
        <v>11</v>
      </c>
    </row>
    <row r="11">
      <c r="A11" s="8">
        <v>2003.0</v>
      </c>
      <c r="B11" s="8">
        <v>200.0</v>
      </c>
      <c r="C11" s="8" t="s">
        <v>32</v>
      </c>
      <c r="D11" s="8" t="s">
        <v>11</v>
      </c>
    </row>
    <row r="12">
      <c r="A12" s="8">
        <v>2003.0</v>
      </c>
      <c r="B12" s="8">
        <v>300.0</v>
      </c>
      <c r="C12" s="8" t="s">
        <v>31</v>
      </c>
      <c r="D12" s="8" t="s">
        <v>11</v>
      </c>
    </row>
    <row r="13">
      <c r="A13" s="10">
        <v>2004.0</v>
      </c>
      <c r="B13" s="10">
        <v>2300.0</v>
      </c>
      <c r="C13" s="10" t="s">
        <v>32</v>
      </c>
      <c r="D13" s="10" t="s">
        <v>11</v>
      </c>
    </row>
    <row r="14">
      <c r="A14" s="10">
        <v>2004.0</v>
      </c>
      <c r="B14" s="10">
        <v>4500.0</v>
      </c>
      <c r="C14" s="10" t="s">
        <v>36</v>
      </c>
      <c r="D14" s="10" t="s">
        <v>11</v>
      </c>
    </row>
    <row r="15">
      <c r="A15" s="8">
        <v>2009.0</v>
      </c>
      <c r="B15" s="8">
        <v>3500.0</v>
      </c>
      <c r="C15" s="8" t="s">
        <v>121</v>
      </c>
      <c r="D15" s="8" t="s">
        <v>20</v>
      </c>
    </row>
    <row r="16">
      <c r="A16" s="8">
        <v>2010.0</v>
      </c>
      <c r="B16" s="8">
        <v>10000.0</v>
      </c>
      <c r="C16" s="8" t="s">
        <v>31</v>
      </c>
      <c r="D16" s="8" t="s">
        <v>11</v>
      </c>
    </row>
    <row r="17">
      <c r="A17" s="10">
        <v>2013.0</v>
      </c>
      <c r="B17" s="10">
        <v>2000.0</v>
      </c>
      <c r="C17" s="10" t="s">
        <v>17</v>
      </c>
      <c r="D17" s="10" t="s">
        <v>11</v>
      </c>
    </row>
    <row r="18">
      <c r="A18" s="10">
        <v>2015.0</v>
      </c>
      <c r="B18" s="10">
        <v>500.0</v>
      </c>
      <c r="C18" s="10" t="s">
        <v>116</v>
      </c>
      <c r="D18" s="10" t="s">
        <v>11</v>
      </c>
    </row>
    <row r="19">
      <c r="A19" s="10">
        <v>2016.0</v>
      </c>
      <c r="B19" s="10">
        <v>900.0</v>
      </c>
      <c r="C19" s="10" t="s">
        <v>44</v>
      </c>
      <c r="D19" s="10" t="s">
        <v>20</v>
      </c>
    </row>
    <row r="20">
      <c r="A20" s="8">
        <v>2017.0</v>
      </c>
      <c r="B20" s="8">
        <v>600.0</v>
      </c>
      <c r="C20" s="8" t="s">
        <v>122</v>
      </c>
      <c r="D20" s="8" t="s">
        <v>21</v>
      </c>
    </row>
    <row r="21">
      <c r="A21" s="8">
        <v>2018.0</v>
      </c>
      <c r="B21" s="8"/>
      <c r="C21" s="8"/>
      <c r="D21" s="8"/>
    </row>
    <row r="22">
      <c r="A22" s="10">
        <v>2019.0</v>
      </c>
      <c r="B22" s="10">
        <v>500.0</v>
      </c>
      <c r="C22" s="10" t="s">
        <v>123</v>
      </c>
      <c r="D22" s="10" t="s">
        <v>11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mergeCells count="1">
    <mergeCell ref="E1:M1"/>
  </mergeCells>
  <conditionalFormatting sqref="A2:D22">
    <cfRule type="expression" dxfId="0" priority="1">
      <formula>$D2="policja"</formula>
    </cfRule>
  </conditionalFormatting>
  <conditionalFormatting sqref="A2:D22">
    <cfRule type="expression" dxfId="1" priority="2">
      <formula>$D2="prasa"</formula>
    </cfRule>
  </conditionalFormatting>
  <conditionalFormatting sqref="A2:D22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</row>
    <row r="2">
      <c r="A2" s="11">
        <v>1990.0</v>
      </c>
      <c r="B2" s="17" t="str">
        <f>IFERROR(AVERAGEIFS(Dane_Antinazi!$B$2:$B$22,Dane_Antinazi!$A$2:$A$22,$A2,Dane_Antinazi!$D$2:$D$22,"prasa"),"")</f>
        <v/>
      </c>
      <c r="C2" s="17" t="str">
        <f>IFERROR(AVERAGEIFS(Dane_Antinazi!$B$2:$B$22,Dane_Antinazi!$A$2:$A$22,$A2,Dane_Antinazi!$D$2:$D$22,"organizatorzy"),"")</f>
        <v/>
      </c>
      <c r="D2" s="17" t="str">
        <f>IFERROR(AVERAGEIFS(Dane_Antinazi!$B$2:$B$22,Dane_Antinazi!$A$2:$A$22,$A2,Dane_Antinazi!$D$2:$D$22,"policja"),"")</f>
        <v/>
      </c>
      <c r="E2" s="20" t="str">
        <f t="shared" ref="E2:E31" si="1">IFERROR((0.5*IF(B2&lt;&gt;"",B2,0) + 0.25*IF(C2&lt;&gt;"",C2,0) + 0.25*IF(D2&lt;&gt;"",D2,0))/(0.5*IF(B2&lt;&gt;"",1,0) + 0.25*IF(C2&lt;&gt;"",1,0) + 0.25*IF(D2&lt;&gt;"",1,0)),"")</f>
        <v/>
      </c>
      <c r="F2" s="20" t="str">
        <f>IFERROR(AVERAGEIFS(Dane_Antinazi!$B$2:$B$22,Dane_Antinazi!$A$2:$A$22,$A2),"")</f>
        <v/>
      </c>
      <c r="G2" s="21">
        <f t="shared" ref="G2:G31" si="2">E2-F2</f>
        <v>0</v>
      </c>
    </row>
    <row r="3">
      <c r="A3" s="11">
        <v>1991.0</v>
      </c>
      <c r="B3" s="17" t="str">
        <f>IFERROR(AVERAGEIFS(Dane_Antinazi!$B$2:$B$22,Dane_Antinazi!$A$2:$A$22,$A3,Dane_Antinazi!$D$2:$D$22,"prasa"),"")</f>
        <v/>
      </c>
      <c r="C3" s="17" t="str">
        <f>IFERROR(AVERAGEIFS(Dane_Antinazi!$B$2:$B$22,Dane_Antinazi!$A$2:$A$22,$A3,Dane_Antinazi!$D$2:$D$22,"organizatorzy"),"")</f>
        <v/>
      </c>
      <c r="D3" s="17" t="str">
        <f>IFERROR(AVERAGEIFS(Dane_Antinazi!$B$2:$B$22,Dane_Antinazi!$A$2:$A$22,$A3,Dane_Antinazi!$D$2:$D$22,"policja"),"")</f>
        <v/>
      </c>
      <c r="E3" s="20" t="str">
        <f t="shared" si="1"/>
        <v/>
      </c>
      <c r="F3" s="20" t="str">
        <f>IFERROR(AVERAGEIFS(Dane_Antinazi!$B$2:$B$22,Dane_Antinazi!$A$2:$A$22,$A3),"")</f>
        <v/>
      </c>
      <c r="G3" s="21">
        <f t="shared" si="2"/>
        <v>0</v>
      </c>
    </row>
    <row r="4">
      <c r="A4" s="11">
        <v>1992.0</v>
      </c>
      <c r="B4" s="17">
        <f>IFERROR(AVERAGEIFS(Dane_Antinazi!$B$2:$B$22,Dane_Antinazi!$A$2:$A$22,$A4,Dane_Antinazi!$D$2:$D$22,"prasa"),"")</f>
        <v>200</v>
      </c>
      <c r="C4" s="17" t="str">
        <f>IFERROR(AVERAGEIFS(Dane_Antinazi!$B$2:$B$22,Dane_Antinazi!$A$2:$A$22,$A4,Dane_Antinazi!$D$2:$D$22,"organizatorzy"),"")</f>
        <v/>
      </c>
      <c r="D4" s="17" t="str">
        <f>IFERROR(AVERAGEIFS(Dane_Antinazi!$B$2:$B$22,Dane_Antinazi!$A$2:$A$22,$A4,Dane_Antinazi!$D$2:$D$22,"policja"),"")</f>
        <v/>
      </c>
      <c r="E4" s="20">
        <f t="shared" si="1"/>
        <v>200</v>
      </c>
      <c r="F4" s="20">
        <f>IFERROR(AVERAGEIFS(Dane_Antinazi!$B$2:$B$22,Dane_Antinazi!$A$2:$A$22,$A4),"")</f>
        <v>200</v>
      </c>
      <c r="G4" s="21">
        <f t="shared" si="2"/>
        <v>0</v>
      </c>
    </row>
    <row r="5">
      <c r="A5" s="11">
        <v>1993.0</v>
      </c>
      <c r="B5" s="17" t="str">
        <f>IFERROR(AVERAGEIFS(Dane_Antinazi!$B$2:$B$22,Dane_Antinazi!$A$2:$A$22,$A5,Dane_Antinazi!$D$2:$D$22,"prasa"),"")</f>
        <v/>
      </c>
      <c r="C5" s="17" t="str">
        <f>IFERROR(AVERAGEIFS(Dane_Antinazi!$B$2:$B$22,Dane_Antinazi!$A$2:$A$22,$A5,Dane_Antinazi!$D$2:$D$22,"organizatorzy"),"")</f>
        <v/>
      </c>
      <c r="D5" s="17" t="str">
        <f>IFERROR(AVERAGEIFS(Dane_Antinazi!$B$2:$B$22,Dane_Antinazi!$A$2:$A$22,$A5,Dane_Antinazi!$D$2:$D$22,"policja"),"")</f>
        <v/>
      </c>
      <c r="E5" s="20" t="str">
        <f t="shared" si="1"/>
        <v/>
      </c>
      <c r="F5" s="20" t="str">
        <f>IFERROR(AVERAGEIFS(Dane_Antinazi!$B$2:$B$22,Dane_Antinazi!$A$2:$A$22,$A5),"")</f>
        <v/>
      </c>
      <c r="G5" s="21">
        <f t="shared" si="2"/>
        <v>0</v>
      </c>
    </row>
    <row r="6">
      <c r="A6" s="11">
        <v>1994.0</v>
      </c>
      <c r="B6" s="17">
        <f>IFERROR(AVERAGEIFS(Dane_Antinazi!$B$2:$B$22,Dane_Antinazi!$A$2:$A$22,$A6,Dane_Antinazi!$D$2:$D$22,"prasa"),"")</f>
        <v>450</v>
      </c>
      <c r="C6" s="17" t="str">
        <f>IFERROR(AVERAGEIFS(Dane_Antinazi!$B$2:$B$22,Dane_Antinazi!$A$2:$A$22,$A6,Dane_Antinazi!$D$2:$D$22,"organizatorzy"),"")</f>
        <v/>
      </c>
      <c r="D6" s="17" t="str">
        <f>IFERROR(AVERAGEIFS(Dane_Antinazi!$B$2:$B$22,Dane_Antinazi!$A$2:$A$22,$A6,Dane_Antinazi!$D$2:$D$22,"policja"),"")</f>
        <v/>
      </c>
      <c r="E6" s="20">
        <f t="shared" si="1"/>
        <v>450</v>
      </c>
      <c r="F6" s="20">
        <f>IFERROR(AVERAGEIFS(Dane_Antinazi!$B$2:$B$22,Dane_Antinazi!$A$2:$A$22,$A6),"")</f>
        <v>450</v>
      </c>
      <c r="G6" s="21">
        <f t="shared" si="2"/>
        <v>0</v>
      </c>
    </row>
    <row r="7">
      <c r="A7" s="11">
        <v>1995.0</v>
      </c>
      <c r="B7" s="17" t="str">
        <f>IFERROR(AVERAGEIFS(Dane_Antinazi!$B$2:$B$22,Dane_Antinazi!$A$2:$A$22,$A7,Dane_Antinazi!$D$2:$D$22,"prasa"),"")</f>
        <v/>
      </c>
      <c r="C7" s="17" t="str">
        <f>IFERROR(AVERAGEIFS(Dane_Antinazi!$B$2:$B$22,Dane_Antinazi!$A$2:$A$22,$A7,Dane_Antinazi!$D$2:$D$22,"organizatorzy"),"")</f>
        <v/>
      </c>
      <c r="D7" s="17" t="str">
        <f>IFERROR(AVERAGEIFS(Dane_Antinazi!$B$2:$B$22,Dane_Antinazi!$A$2:$A$22,$A7,Dane_Antinazi!$D$2:$D$22,"policja"),"")</f>
        <v/>
      </c>
      <c r="E7" s="20" t="str">
        <f t="shared" si="1"/>
        <v/>
      </c>
      <c r="F7" s="20" t="str">
        <f>IFERROR(AVERAGEIFS(Dane_Antinazi!$B$2:$B$22,Dane_Antinazi!$A$2:$A$22,$A7),"")</f>
        <v/>
      </c>
      <c r="G7" s="21">
        <f t="shared" si="2"/>
        <v>0</v>
      </c>
    </row>
    <row r="8">
      <c r="A8" s="11">
        <v>1996.0</v>
      </c>
      <c r="B8" s="17" t="str">
        <f>IFERROR(AVERAGEIFS(Dane_Antinazi!$B$2:$B$22,Dane_Antinazi!$A$2:$A$22,$A8,Dane_Antinazi!$D$2:$D$22,"prasa"),"")</f>
        <v/>
      </c>
      <c r="C8" s="17">
        <f>IFERROR(AVERAGEIFS(Dane_Antinazi!$B$2:$B$22,Dane_Antinazi!$A$2:$A$22,$A8,Dane_Antinazi!$D$2:$D$22,"organizatorzy"),"")</f>
        <v>40</v>
      </c>
      <c r="D8" s="17" t="str">
        <f>IFERROR(AVERAGEIFS(Dane_Antinazi!$B$2:$B$22,Dane_Antinazi!$A$2:$A$22,$A8,Dane_Antinazi!$D$2:$D$22,"policja"),"")</f>
        <v/>
      </c>
      <c r="E8" s="20">
        <f t="shared" si="1"/>
        <v>40</v>
      </c>
      <c r="F8" s="20">
        <f>IFERROR(AVERAGEIFS(Dane_Antinazi!$B$2:$B$22,Dane_Antinazi!$A$2:$A$22,$A8),"")</f>
        <v>40</v>
      </c>
      <c r="G8" s="21">
        <f t="shared" si="2"/>
        <v>0</v>
      </c>
    </row>
    <row r="9">
      <c r="A9" s="11">
        <v>1997.0</v>
      </c>
      <c r="B9" s="17" t="str">
        <f>IFERROR(AVERAGEIFS(Dane_Antinazi!$B$2:$B$22,Dane_Antinazi!$A$2:$A$22,$A9,Dane_Antinazi!$D$2:$D$22,"prasa"),"")</f>
        <v/>
      </c>
      <c r="C9" s="17" t="str">
        <f>IFERROR(AVERAGEIFS(Dane_Antinazi!$B$2:$B$22,Dane_Antinazi!$A$2:$A$22,$A9,Dane_Antinazi!$D$2:$D$22,"organizatorzy"),"")</f>
        <v/>
      </c>
      <c r="D9" s="17" t="str">
        <f>IFERROR(AVERAGEIFS(Dane_Antinazi!$B$2:$B$22,Dane_Antinazi!$A$2:$A$22,$A9,Dane_Antinazi!$D$2:$D$22,"policja"),"")</f>
        <v/>
      </c>
      <c r="E9" s="20" t="str">
        <f t="shared" si="1"/>
        <v/>
      </c>
      <c r="F9" s="20" t="str">
        <f>IFERROR(AVERAGEIFS(Dane_Antinazi!$B$2:$B$22,Dane_Antinazi!$A$2:$A$22,$A9),"")</f>
        <v/>
      </c>
      <c r="G9" s="21">
        <f t="shared" si="2"/>
        <v>0</v>
      </c>
    </row>
    <row r="10">
      <c r="A10" s="11">
        <v>1998.0</v>
      </c>
      <c r="B10" s="17" t="str">
        <f>IFERROR(AVERAGEIFS(Dane_Antinazi!$B$2:$B$22,Dane_Antinazi!$A$2:$A$22,$A10,Dane_Antinazi!$D$2:$D$22,"prasa"),"")</f>
        <v/>
      </c>
      <c r="C10" s="17" t="str">
        <f>IFERROR(AVERAGEIFS(Dane_Antinazi!$B$2:$B$22,Dane_Antinazi!$A$2:$A$22,$A10,Dane_Antinazi!$D$2:$D$22,"organizatorzy"),"")</f>
        <v/>
      </c>
      <c r="D10" s="17" t="str">
        <f>IFERROR(AVERAGEIFS(Dane_Antinazi!$B$2:$B$22,Dane_Antinazi!$A$2:$A$22,$A10,Dane_Antinazi!$D$2:$D$22,"policja"),"")</f>
        <v/>
      </c>
      <c r="E10" s="20" t="str">
        <f t="shared" si="1"/>
        <v/>
      </c>
      <c r="F10" s="20" t="str">
        <f>IFERROR(AVERAGEIFS(Dane_Antinazi!$B$2:$B$22,Dane_Antinazi!$A$2:$A$22,$A10),"")</f>
        <v/>
      </c>
      <c r="G10" s="21">
        <f t="shared" si="2"/>
        <v>0</v>
      </c>
    </row>
    <row r="11">
      <c r="A11" s="11">
        <v>1999.0</v>
      </c>
      <c r="B11" s="17" t="str">
        <f>IFERROR(AVERAGEIFS(Dane_Antinazi!$B$2:$B$22,Dane_Antinazi!$A$2:$A$22,$A11,Dane_Antinazi!$D$2:$D$22,"prasa"),"")</f>
        <v/>
      </c>
      <c r="C11" s="17" t="str">
        <f>IFERROR(AVERAGEIFS(Dane_Antinazi!$B$2:$B$22,Dane_Antinazi!$A$2:$A$22,$A11,Dane_Antinazi!$D$2:$D$22,"organizatorzy"),"")</f>
        <v/>
      </c>
      <c r="D11" s="17" t="str">
        <f>IFERROR(AVERAGEIFS(Dane_Antinazi!$B$2:$B$22,Dane_Antinazi!$A$2:$A$22,$A11,Dane_Antinazi!$D$2:$D$22,"policja"),"")</f>
        <v/>
      </c>
      <c r="E11" s="20" t="str">
        <f t="shared" si="1"/>
        <v/>
      </c>
      <c r="F11" s="20" t="str">
        <f>IFERROR(AVERAGEIFS(Dane_Antinazi!$B$2:$B$22,Dane_Antinazi!$A$2:$A$22,$A11),"")</f>
        <v/>
      </c>
      <c r="G11" s="21">
        <f t="shared" si="2"/>
        <v>0</v>
      </c>
    </row>
    <row r="12">
      <c r="A12" s="11">
        <v>2000.0</v>
      </c>
      <c r="B12" s="17">
        <f>IFERROR(AVERAGEIFS(Dane_Antinazi!$B$2:$B$22,Dane_Antinazi!$A$2:$A$22,$A12,Dane_Antinazi!$D$2:$D$22,"prasa"),"")</f>
        <v>10000</v>
      </c>
      <c r="C12" s="17" t="str">
        <f>IFERROR(AVERAGEIFS(Dane_Antinazi!$B$2:$B$22,Dane_Antinazi!$A$2:$A$22,$A12,Dane_Antinazi!$D$2:$D$22,"organizatorzy"),"")</f>
        <v/>
      </c>
      <c r="D12" s="17" t="str">
        <f>IFERROR(AVERAGEIFS(Dane_Antinazi!$B$2:$B$22,Dane_Antinazi!$A$2:$A$22,$A12,Dane_Antinazi!$D$2:$D$22,"policja"),"")</f>
        <v/>
      </c>
      <c r="E12" s="20">
        <f t="shared" si="1"/>
        <v>10000</v>
      </c>
      <c r="F12" s="20">
        <f>IFERROR(AVERAGEIFS(Dane_Antinazi!$B$2:$B$22,Dane_Antinazi!$A$2:$A$22,$A12),"")</f>
        <v>10000</v>
      </c>
      <c r="G12" s="21">
        <f t="shared" si="2"/>
        <v>0</v>
      </c>
    </row>
    <row r="13">
      <c r="A13" s="11">
        <v>2001.0</v>
      </c>
      <c r="B13" s="17">
        <f>IFERROR(AVERAGEIFS(Dane_Antinazi!$B$2:$B$22,Dane_Antinazi!$A$2:$A$22,$A13,Dane_Antinazi!$D$2:$D$22,"prasa"),"")</f>
        <v>475</v>
      </c>
      <c r="C13" s="17" t="str">
        <f>IFERROR(AVERAGEIFS(Dane_Antinazi!$B$2:$B$22,Dane_Antinazi!$A$2:$A$22,$A13,Dane_Antinazi!$D$2:$D$22,"organizatorzy"),"")</f>
        <v/>
      </c>
      <c r="D13" s="17" t="str">
        <f>IFERROR(AVERAGEIFS(Dane_Antinazi!$B$2:$B$22,Dane_Antinazi!$A$2:$A$22,$A13,Dane_Antinazi!$D$2:$D$22,"policja"),"")</f>
        <v/>
      </c>
      <c r="E13" s="20">
        <f t="shared" si="1"/>
        <v>475</v>
      </c>
      <c r="F13" s="20">
        <f>IFERROR(AVERAGEIFS(Dane_Antinazi!$B$2:$B$22,Dane_Antinazi!$A$2:$A$22,$A13),"")</f>
        <v>475</v>
      </c>
      <c r="G13" s="21">
        <f t="shared" si="2"/>
        <v>0</v>
      </c>
    </row>
    <row r="14">
      <c r="A14" s="11">
        <v>2002.0</v>
      </c>
      <c r="B14" s="17">
        <f>IFERROR(AVERAGEIFS(Dane_Antinazi!$B$2:$B$22,Dane_Antinazi!$A$2:$A$22,$A14,Dane_Antinazi!$D$2:$D$22,"prasa"),"")</f>
        <v>1000</v>
      </c>
      <c r="C14" s="17" t="str">
        <f>IFERROR(AVERAGEIFS(Dane_Antinazi!$B$2:$B$22,Dane_Antinazi!$A$2:$A$22,$A14,Dane_Antinazi!$D$2:$D$22,"organizatorzy"),"")</f>
        <v/>
      </c>
      <c r="D14" s="17" t="str">
        <f>IFERROR(AVERAGEIFS(Dane_Antinazi!$B$2:$B$22,Dane_Antinazi!$A$2:$A$22,$A14,Dane_Antinazi!$D$2:$D$22,"policja"),"")</f>
        <v/>
      </c>
      <c r="E14" s="20">
        <f t="shared" si="1"/>
        <v>1000</v>
      </c>
      <c r="F14" s="20">
        <f>IFERROR(AVERAGEIFS(Dane_Antinazi!$B$2:$B$22,Dane_Antinazi!$A$2:$A$22,$A14),"")</f>
        <v>1000</v>
      </c>
      <c r="G14" s="21">
        <f t="shared" si="2"/>
        <v>0</v>
      </c>
    </row>
    <row r="15">
      <c r="A15" s="11">
        <v>2003.0</v>
      </c>
      <c r="B15" s="17">
        <f>IFERROR(AVERAGEIFS(Dane_Antinazi!$B$2:$B$22,Dane_Antinazi!$A$2:$A$22,$A15,Dane_Antinazi!$D$2:$D$22,"prasa"),"")</f>
        <v>250</v>
      </c>
      <c r="C15" s="17" t="str">
        <f>IFERROR(AVERAGEIFS(Dane_Antinazi!$B$2:$B$22,Dane_Antinazi!$A$2:$A$22,$A15,Dane_Antinazi!$D$2:$D$22,"organizatorzy"),"")</f>
        <v/>
      </c>
      <c r="D15" s="17" t="str">
        <f>IFERROR(AVERAGEIFS(Dane_Antinazi!$B$2:$B$22,Dane_Antinazi!$A$2:$A$22,$A15,Dane_Antinazi!$D$2:$D$22,"policja"),"")</f>
        <v/>
      </c>
      <c r="E15" s="20">
        <f t="shared" si="1"/>
        <v>250</v>
      </c>
      <c r="F15" s="20">
        <f>IFERROR(AVERAGEIFS(Dane_Antinazi!$B$2:$B$22,Dane_Antinazi!$A$2:$A$22,$A15),"")</f>
        <v>250</v>
      </c>
      <c r="G15" s="21">
        <f t="shared" si="2"/>
        <v>0</v>
      </c>
    </row>
    <row r="16">
      <c r="A16" s="11">
        <v>2004.0</v>
      </c>
      <c r="B16" s="17">
        <f>IFERROR(AVERAGEIFS(Dane_Antinazi!$B$2:$B$22,Dane_Antinazi!$A$2:$A$22,$A16,Dane_Antinazi!$D$2:$D$22,"prasa"),"")</f>
        <v>3400</v>
      </c>
      <c r="C16" s="17" t="str">
        <f>IFERROR(AVERAGEIFS(Dane_Antinazi!$B$2:$B$22,Dane_Antinazi!$A$2:$A$22,$A16,Dane_Antinazi!$D$2:$D$22,"organizatorzy"),"")</f>
        <v/>
      </c>
      <c r="D16" s="17" t="str">
        <f>IFERROR(AVERAGEIFS(Dane_Antinazi!$B$2:$B$22,Dane_Antinazi!$A$2:$A$22,$A16,Dane_Antinazi!$D$2:$D$22,"policja"),"")</f>
        <v/>
      </c>
      <c r="E16" s="20">
        <f t="shared" si="1"/>
        <v>3400</v>
      </c>
      <c r="F16" s="20">
        <f>IFERROR(AVERAGEIFS(Dane_Antinazi!$B$2:$B$22,Dane_Antinazi!$A$2:$A$22,$A16),"")</f>
        <v>3400</v>
      </c>
      <c r="G16" s="21">
        <f t="shared" si="2"/>
        <v>0</v>
      </c>
    </row>
    <row r="17">
      <c r="A17" s="11">
        <v>2005.0</v>
      </c>
      <c r="B17" s="17" t="str">
        <f>IFERROR(AVERAGEIFS(Dane_Antinazi!$B$2:$B$22,Dane_Antinazi!$A$2:$A$22,$A17,Dane_Antinazi!$D$2:$D$22,"prasa"),"")</f>
        <v/>
      </c>
      <c r="C17" s="17" t="str">
        <f>IFERROR(AVERAGEIFS(Dane_Antinazi!$B$2:$B$22,Dane_Antinazi!$A$2:$A$22,$A17,Dane_Antinazi!$D$2:$D$22,"organizatorzy"),"")</f>
        <v/>
      </c>
      <c r="D17" s="17" t="str">
        <f>IFERROR(AVERAGEIFS(Dane_Antinazi!$B$2:$B$22,Dane_Antinazi!$A$2:$A$22,$A17,Dane_Antinazi!$D$2:$D$22,"policja"),"")</f>
        <v/>
      </c>
      <c r="E17" s="20" t="str">
        <f t="shared" si="1"/>
        <v/>
      </c>
      <c r="F17" s="20" t="str">
        <f>IFERROR(AVERAGEIFS(Dane_Antinazi!$B$2:$B$22,Dane_Antinazi!$A$2:$A$22,$A17),"")</f>
        <v/>
      </c>
      <c r="G17" s="21">
        <f t="shared" si="2"/>
        <v>0</v>
      </c>
    </row>
    <row r="18">
      <c r="A18" s="11">
        <v>2006.0</v>
      </c>
      <c r="B18" s="17" t="str">
        <f>IFERROR(AVERAGEIFS(Dane_Antinazi!$B$2:$B$22,Dane_Antinazi!$A$2:$A$22,$A18,Dane_Antinazi!$D$2:$D$22,"prasa"),"")</f>
        <v/>
      </c>
      <c r="C18" s="17" t="str">
        <f>IFERROR(AVERAGEIFS(Dane_Antinazi!$B$2:$B$22,Dane_Antinazi!$A$2:$A$22,$A18,Dane_Antinazi!$D$2:$D$22,"organizatorzy"),"")</f>
        <v/>
      </c>
      <c r="D18" s="17" t="str">
        <f>IFERROR(AVERAGEIFS(Dane_Antinazi!$B$2:$B$22,Dane_Antinazi!$A$2:$A$22,$A18,Dane_Antinazi!$D$2:$D$22,"policja"),"")</f>
        <v/>
      </c>
      <c r="E18" s="20" t="str">
        <f t="shared" si="1"/>
        <v/>
      </c>
      <c r="F18" s="20" t="str">
        <f>IFERROR(AVERAGEIFS(Dane_Antinazi!$B$2:$B$22,Dane_Antinazi!$A$2:$A$22,$A18),"")</f>
        <v/>
      </c>
      <c r="G18" s="21">
        <f t="shared" si="2"/>
        <v>0</v>
      </c>
    </row>
    <row r="19">
      <c r="A19" s="11">
        <v>2007.0</v>
      </c>
      <c r="B19" s="17" t="str">
        <f>IFERROR(AVERAGEIFS(Dane_Antinazi!$B$2:$B$22,Dane_Antinazi!$A$2:$A$22,$A19,Dane_Antinazi!$D$2:$D$22,"prasa"),"")</f>
        <v/>
      </c>
      <c r="C19" s="17" t="str">
        <f>IFERROR(AVERAGEIFS(Dane_Antinazi!$B$2:$B$22,Dane_Antinazi!$A$2:$A$22,$A19,Dane_Antinazi!$D$2:$D$22,"organizatorzy"),"")</f>
        <v/>
      </c>
      <c r="D19" s="17" t="str">
        <f>IFERROR(AVERAGEIFS(Dane_Antinazi!$B$2:$B$22,Dane_Antinazi!$A$2:$A$22,$A19,Dane_Antinazi!$D$2:$D$22,"policja"),"")</f>
        <v/>
      </c>
      <c r="E19" s="20" t="str">
        <f t="shared" si="1"/>
        <v/>
      </c>
      <c r="F19" s="20" t="str">
        <f>IFERROR(AVERAGEIFS(Dane_Antinazi!$B$2:$B$22,Dane_Antinazi!$A$2:$A$22,$A19),"")</f>
        <v/>
      </c>
      <c r="G19" s="21">
        <f t="shared" si="2"/>
        <v>0</v>
      </c>
    </row>
    <row r="20">
      <c r="A20" s="11">
        <v>2008.0</v>
      </c>
      <c r="B20" s="17" t="str">
        <f>IFERROR(AVERAGEIFS(Dane_Antinazi!$B$2:$B$22,Dane_Antinazi!$A$2:$A$22,$A20,Dane_Antinazi!$D$2:$D$22,"prasa"),"")</f>
        <v/>
      </c>
      <c r="C20" s="17" t="str">
        <f>IFERROR(AVERAGEIFS(Dane_Antinazi!$B$2:$B$22,Dane_Antinazi!$A$2:$A$22,$A20,Dane_Antinazi!$D$2:$D$22,"organizatorzy"),"")</f>
        <v/>
      </c>
      <c r="D20" s="17" t="str">
        <f>IFERROR(AVERAGEIFS(Dane_Antinazi!$B$2:$B$22,Dane_Antinazi!$A$2:$A$22,$A20,Dane_Antinazi!$D$2:$D$22,"policja"),"")</f>
        <v/>
      </c>
      <c r="E20" s="20" t="str">
        <f t="shared" si="1"/>
        <v/>
      </c>
      <c r="F20" s="20" t="str">
        <f>IFERROR(AVERAGEIFS(Dane_Antinazi!$B$2:$B$22,Dane_Antinazi!$A$2:$A$22,$A20),"")</f>
        <v/>
      </c>
      <c r="G20" s="21">
        <f t="shared" si="2"/>
        <v>0</v>
      </c>
    </row>
    <row r="21" ht="15.75" customHeight="1">
      <c r="A21" s="11">
        <v>2009.0</v>
      </c>
      <c r="B21" s="17" t="str">
        <f>IFERROR(AVERAGEIFS(Dane_Antinazi!$B$2:$B$22,Dane_Antinazi!$A$2:$A$22,$A21,Dane_Antinazi!$D$2:$D$22,"prasa"),"")</f>
        <v/>
      </c>
      <c r="C21" s="17" t="str">
        <f>IFERROR(AVERAGEIFS(Dane_Antinazi!$B$2:$B$22,Dane_Antinazi!$A$2:$A$22,$A21,Dane_Antinazi!$D$2:$D$22,"organizatorzy"),"")</f>
        <v/>
      </c>
      <c r="D21" s="17">
        <f>IFERROR(AVERAGEIFS(Dane_Antinazi!$B$2:$B$22,Dane_Antinazi!$A$2:$A$22,$A21,Dane_Antinazi!$D$2:$D$22,"policja"),"")</f>
        <v>3500</v>
      </c>
      <c r="E21" s="20">
        <f t="shared" si="1"/>
        <v>3500</v>
      </c>
      <c r="F21" s="20">
        <f>IFERROR(AVERAGEIFS(Dane_Antinazi!$B$2:$B$22,Dane_Antinazi!$A$2:$A$22,$A21),"")</f>
        <v>3500</v>
      </c>
      <c r="G21" s="21">
        <f t="shared" si="2"/>
        <v>0</v>
      </c>
    </row>
    <row r="22" ht="15.75" customHeight="1">
      <c r="A22" s="11">
        <v>2010.0</v>
      </c>
      <c r="B22" s="17">
        <f>IFERROR(AVERAGEIFS(Dane_Antinazi!$B$2:$B$22,Dane_Antinazi!$A$2:$A$22,$A22,Dane_Antinazi!$D$2:$D$22,"prasa"),"")</f>
        <v>10000</v>
      </c>
      <c r="C22" s="17" t="str">
        <f>IFERROR(AVERAGEIFS(Dane_Antinazi!$B$2:$B$22,Dane_Antinazi!$A$2:$A$22,$A22,Dane_Antinazi!$D$2:$D$22,"organizatorzy"),"")</f>
        <v/>
      </c>
      <c r="D22" s="17" t="str">
        <f>IFERROR(AVERAGEIFS(Dane_Antinazi!$B$2:$B$22,Dane_Antinazi!$A$2:$A$22,$A22,Dane_Antinazi!$D$2:$D$22,"policja"),"")</f>
        <v/>
      </c>
      <c r="E22" s="20">
        <f t="shared" si="1"/>
        <v>10000</v>
      </c>
      <c r="F22" s="20">
        <f>IFERROR(AVERAGEIFS(Dane_Antinazi!$B$2:$B$22,Dane_Antinazi!$A$2:$A$22,$A22),"")</f>
        <v>10000</v>
      </c>
      <c r="G22" s="21">
        <f t="shared" si="2"/>
        <v>0</v>
      </c>
    </row>
    <row r="23" ht="15.75" customHeight="1">
      <c r="A23" s="11">
        <v>2011.0</v>
      </c>
      <c r="B23" s="17" t="str">
        <f>IFERROR(AVERAGEIFS(Dane_Antinazi!$B$2:$B$22,Dane_Antinazi!$A$2:$A$22,$A23,Dane_Antinazi!$D$2:$D$22,"prasa"),"")</f>
        <v/>
      </c>
      <c r="C23" s="17" t="str">
        <f>IFERROR(AVERAGEIFS(Dane_Antinazi!$B$2:$B$22,Dane_Antinazi!$A$2:$A$22,$A23,Dane_Antinazi!$D$2:$D$22,"organizatorzy"),"")</f>
        <v/>
      </c>
      <c r="D23" s="17" t="str">
        <f>IFERROR(AVERAGEIFS(Dane_Antinazi!$B$2:$B$22,Dane_Antinazi!$A$2:$A$22,$A23,Dane_Antinazi!$D$2:$D$22,"policja"),"")</f>
        <v/>
      </c>
      <c r="E23" s="20" t="str">
        <f t="shared" si="1"/>
        <v/>
      </c>
      <c r="F23" s="20" t="str">
        <f>IFERROR(AVERAGEIFS(Dane_Antinazi!$B$2:$B$22,Dane_Antinazi!$A$2:$A$22,$A23),"")</f>
        <v/>
      </c>
      <c r="G23" s="21">
        <f t="shared" si="2"/>
        <v>0</v>
      </c>
    </row>
    <row r="24" ht="15.75" customHeight="1">
      <c r="A24" s="11">
        <v>2012.0</v>
      </c>
      <c r="B24" s="17" t="str">
        <f>IFERROR(AVERAGEIFS(Dane_Antinazi!$B$2:$B$22,Dane_Antinazi!$A$2:$A$22,$A24,Dane_Antinazi!$D$2:$D$22,"prasa"),"")</f>
        <v/>
      </c>
      <c r="C24" s="17" t="str">
        <f>IFERROR(AVERAGEIFS(Dane_Antinazi!$B$2:$B$22,Dane_Antinazi!$A$2:$A$22,$A24,Dane_Antinazi!$D$2:$D$22,"organizatorzy"),"")</f>
        <v/>
      </c>
      <c r="D24" s="17" t="str">
        <f>IFERROR(AVERAGEIFS(Dane_Antinazi!$B$2:$B$22,Dane_Antinazi!$A$2:$A$22,$A24,Dane_Antinazi!$D$2:$D$22,"policja"),"")</f>
        <v/>
      </c>
      <c r="E24" s="20" t="str">
        <f t="shared" si="1"/>
        <v/>
      </c>
      <c r="F24" s="20" t="str">
        <f>IFERROR(AVERAGEIFS(Dane_Antinazi!$B$2:$B$22,Dane_Antinazi!$A$2:$A$22,$A24),"")</f>
        <v/>
      </c>
      <c r="G24" s="21">
        <f t="shared" si="2"/>
        <v>0</v>
      </c>
    </row>
    <row r="25" ht="15.75" customHeight="1">
      <c r="A25" s="11">
        <v>2013.0</v>
      </c>
      <c r="B25" s="17">
        <f>IFERROR(AVERAGEIFS(Dane_Antinazi!$B$2:$B$22,Dane_Antinazi!$A$2:$A$22,$A25,Dane_Antinazi!$D$2:$D$22,"prasa"),"")</f>
        <v>2000</v>
      </c>
      <c r="C25" s="17" t="str">
        <f>IFERROR(AVERAGEIFS(Dane_Antinazi!$B$2:$B$22,Dane_Antinazi!$A$2:$A$22,$A25,Dane_Antinazi!$D$2:$D$22,"organizatorzy"),"")</f>
        <v/>
      </c>
      <c r="D25" s="17" t="str">
        <f>IFERROR(AVERAGEIFS(Dane_Antinazi!$B$2:$B$22,Dane_Antinazi!$A$2:$A$22,$A25,Dane_Antinazi!$D$2:$D$22,"policja"),"")</f>
        <v/>
      </c>
      <c r="E25" s="20">
        <f t="shared" si="1"/>
        <v>2000</v>
      </c>
      <c r="F25" s="20">
        <f>IFERROR(AVERAGEIFS(Dane_Antinazi!$B$2:$B$22,Dane_Antinazi!$A$2:$A$22,$A25),"")</f>
        <v>2000</v>
      </c>
      <c r="G25" s="21">
        <f t="shared" si="2"/>
        <v>0</v>
      </c>
    </row>
    <row r="26" ht="15.75" customHeight="1">
      <c r="A26" s="11">
        <v>2014.0</v>
      </c>
      <c r="B26" s="17" t="str">
        <f>IFERROR(AVERAGEIFS(Dane_Antinazi!$B$2:$B$22,Dane_Antinazi!$A$2:$A$22,$A26,Dane_Antinazi!$D$2:$D$22,"prasa"),"")</f>
        <v/>
      </c>
      <c r="C26" s="17" t="str">
        <f>IFERROR(AVERAGEIFS(Dane_Antinazi!$B$2:$B$22,Dane_Antinazi!$A$2:$A$22,$A26,Dane_Antinazi!$D$2:$D$22,"organizatorzy"),"")</f>
        <v/>
      </c>
      <c r="D26" s="17" t="str">
        <f>IFERROR(AVERAGEIFS(Dane_Antinazi!$B$2:$B$22,Dane_Antinazi!$A$2:$A$22,$A26,Dane_Antinazi!$D$2:$D$22,"policja"),"")</f>
        <v/>
      </c>
      <c r="E26" s="20" t="str">
        <f t="shared" si="1"/>
        <v/>
      </c>
      <c r="F26" s="20" t="str">
        <f>IFERROR(AVERAGEIFS(Dane_Antinazi!$B$2:$B$22,Dane_Antinazi!$A$2:$A$22,$A26),"")</f>
        <v/>
      </c>
      <c r="G26" s="21">
        <f t="shared" si="2"/>
        <v>0</v>
      </c>
    </row>
    <row r="27" ht="15.75" customHeight="1">
      <c r="A27" s="11">
        <v>2015.0</v>
      </c>
      <c r="B27" s="17">
        <f>IFERROR(AVERAGEIFS(Dane_Antinazi!$B$2:$B$22,Dane_Antinazi!$A$2:$A$22,$A27,Dane_Antinazi!$D$2:$D$22,"prasa"),"")</f>
        <v>500</v>
      </c>
      <c r="C27" s="17" t="str">
        <f>IFERROR(AVERAGEIFS(Dane_Antinazi!$B$2:$B$22,Dane_Antinazi!$A$2:$A$22,$A27,Dane_Antinazi!$D$2:$D$22,"organizatorzy"),"")</f>
        <v/>
      </c>
      <c r="D27" s="17" t="str">
        <f>IFERROR(AVERAGEIFS(Dane_Antinazi!$B$2:$B$22,Dane_Antinazi!$A$2:$A$22,$A27,Dane_Antinazi!$D$2:$D$22,"policja"),"")</f>
        <v/>
      </c>
      <c r="E27" s="20">
        <f t="shared" si="1"/>
        <v>500</v>
      </c>
      <c r="F27" s="20">
        <f>IFERROR(AVERAGEIFS(Dane_Antinazi!$B$2:$B$22,Dane_Antinazi!$A$2:$A$22,$A27),"")</f>
        <v>500</v>
      </c>
      <c r="G27" s="21">
        <f t="shared" si="2"/>
        <v>0</v>
      </c>
    </row>
    <row r="28" ht="15.75" customHeight="1">
      <c r="A28" s="11">
        <v>2016.0</v>
      </c>
      <c r="B28" s="17" t="str">
        <f>IFERROR(AVERAGEIFS(Dane_Antinazi!$B$2:$B$22,Dane_Antinazi!$A$2:$A$22,$A28,Dane_Antinazi!$D$2:$D$22,"prasa"),"")</f>
        <v/>
      </c>
      <c r="C28" s="17" t="str">
        <f>IFERROR(AVERAGEIFS(Dane_Antinazi!$B$2:$B$22,Dane_Antinazi!$A$2:$A$22,$A28,Dane_Antinazi!$D$2:$D$22,"organizatorzy"),"")</f>
        <v/>
      </c>
      <c r="D28" s="17">
        <f>IFERROR(AVERAGEIFS(Dane_Antinazi!$B$2:$B$22,Dane_Antinazi!$A$2:$A$22,$A28,Dane_Antinazi!$D$2:$D$22,"policja"),"")</f>
        <v>900</v>
      </c>
      <c r="E28" s="20">
        <f t="shared" si="1"/>
        <v>900</v>
      </c>
      <c r="F28" s="20">
        <f>IFERROR(AVERAGEIFS(Dane_Antinazi!$B$2:$B$22,Dane_Antinazi!$A$2:$A$22,$A28),"")</f>
        <v>900</v>
      </c>
      <c r="G28" s="21">
        <f t="shared" si="2"/>
        <v>0</v>
      </c>
    </row>
    <row r="29" ht="15.75" customHeight="1">
      <c r="A29" s="11">
        <v>2017.0</v>
      </c>
      <c r="B29" s="17" t="str">
        <f>IFERROR(AVERAGEIFS(Dane_Antinazi!$B$2:$B$22,Dane_Antinazi!$A$2:$A$22,$A29,Dane_Antinazi!$D$2:$D$22,"prasa"),"")</f>
        <v/>
      </c>
      <c r="C29" s="17">
        <f>IFERROR(AVERAGEIFS(Dane_Antinazi!$B$2:$B$22,Dane_Antinazi!$A$2:$A$22,$A29,Dane_Antinazi!$D$2:$D$22,"organizatorzy"),"")</f>
        <v>600</v>
      </c>
      <c r="D29" s="17" t="str">
        <f>IFERROR(AVERAGEIFS(Dane_Antinazi!$B$2:$B$22,Dane_Antinazi!$A$2:$A$22,$A29,Dane_Antinazi!$D$2:$D$22,"policja"),"")</f>
        <v/>
      </c>
      <c r="E29" s="20">
        <f t="shared" si="1"/>
        <v>600</v>
      </c>
      <c r="F29" s="20">
        <f>IFERROR(AVERAGEIFS(Dane_Antinazi!$B$2:$B$22,Dane_Antinazi!$A$2:$A$22,$A29),"")</f>
        <v>600</v>
      </c>
      <c r="G29" s="21">
        <f t="shared" si="2"/>
        <v>0</v>
      </c>
    </row>
    <row r="30" ht="15.75" customHeight="1">
      <c r="A30" s="11">
        <v>2018.0</v>
      </c>
      <c r="B30" s="17" t="str">
        <f>IFERROR(AVERAGEIFS(Dane_Antinazi!$B$2:$B$22,Dane_Antinazi!$A$2:$A$22,$A30,Dane_Antinazi!$D$2:$D$22,"prasa"),"")</f>
        <v/>
      </c>
      <c r="C30" s="17" t="str">
        <f>IFERROR(AVERAGEIFS(Dane_Antinazi!$B$2:$B$22,Dane_Antinazi!$A$2:$A$22,$A30,Dane_Antinazi!$D$2:$D$22,"organizatorzy"),"")</f>
        <v/>
      </c>
      <c r="D30" s="17" t="str">
        <f>IFERROR(AVERAGEIFS(Dane_Antinazi!$B$2:$B$22,Dane_Antinazi!$A$2:$A$22,$A30,Dane_Antinazi!$D$2:$D$22,"policja"),"")</f>
        <v/>
      </c>
      <c r="E30" s="20" t="str">
        <f t="shared" si="1"/>
        <v/>
      </c>
      <c r="F30" s="20" t="str">
        <f>IFERROR(AVERAGEIFS(Dane_Antinazi!$B$2:$B$22,Dane_Antinazi!$A$2:$A$22,$A30),"")</f>
        <v/>
      </c>
      <c r="G30" s="21">
        <f t="shared" si="2"/>
        <v>0</v>
      </c>
    </row>
    <row r="31" ht="15.75" customHeight="1">
      <c r="A31" s="11">
        <v>2019.0</v>
      </c>
      <c r="B31" s="17">
        <f>IFERROR(AVERAGEIFS(Dane_Antinazi!$B$2:$B$22,Dane_Antinazi!$A$2:$A$22,$A31,Dane_Antinazi!$D$2:$D$22,"prasa"),"")</f>
        <v>500</v>
      </c>
      <c r="C31" s="17" t="str">
        <f>IFERROR(AVERAGEIFS(Dane_Antinazi!$B$2:$B$22,Dane_Antinazi!$A$2:$A$22,$A31,Dane_Antinazi!$D$2:$D$22,"organizatorzy"),"")</f>
        <v/>
      </c>
      <c r="D31" s="17" t="str">
        <f>IFERROR(AVERAGEIFS(Dane_Antinazi!$B$2:$B$22,Dane_Antinazi!$A$2:$A$22,$A31,Dane_Antinazi!$D$2:$D$22,"policja"),"")</f>
        <v/>
      </c>
      <c r="E31" s="20">
        <f t="shared" si="1"/>
        <v>500</v>
      </c>
      <c r="F31" s="20">
        <f>IFERROR(AVERAGEIFS(Dane_Antinazi!$B$2:$B$22,Dane_Antinazi!$A$2:$A$22,$A31),"")</f>
        <v>500</v>
      </c>
      <c r="G31" s="21">
        <f t="shared" si="2"/>
        <v>0</v>
      </c>
    </row>
    <row r="32" ht="15.75" customHeight="1">
      <c r="E32" s="23" t="str">
        <f>IFERROR(
  (0.5*IF(B32&lt;&gt;"",B32,0) + 0.25*IF(C32&lt;&gt;"",C32,0) + 0.25*IF(D32&lt;&gt;"",D32,0))
  /
  (0.5*IF(B32&lt;&gt;"",1,0) + 0.25*IF(C32&lt;&gt;"",1,0) + 0.25*IF(D32&lt;&gt;"",1,0))
,"")</f>
        <v/>
      </c>
    </row>
    <row r="33" ht="15.75" customHeight="1"/>
    <row r="34" ht="15.75" customHeight="1"/>
    <row r="35" ht="15.75" customHeight="1"/>
    <row r="36" ht="15.75" customHeight="1"/>
    <row r="37" ht="15.75" customHeight="1">
      <c r="D37" s="23" t="str">
        <f>IFERROR(__xludf.DUMMYFUNCTION("JOIN("", "", IF(F2:F32="""", ""null"", F2:F32))"),"#VALUE!")</f>
        <v>#VALUE!</v>
      </c>
    </row>
    <row r="38" ht="15.75" customHeight="1"/>
    <row r="39" ht="15.75" customHeight="1"/>
    <row r="40" ht="15.75" customHeight="1">
      <c r="D40" s="23" t="str">
        <f>IFERROR(__xludf.DUMMYFUNCTION("ARRAYFORMULA(JOIN("", "", IF(F2:F31="""", ""null"", F2:F31)))"),"null, null, 200, null, 450, null, 40, null, null, null, 10000, 475, 1000, 250, 3400, null, null, null, null, 3500, 10000, null, null, 2000, null, 500, 900, 600, null, 500")</f>
        <v>null, null, 200, null, 450, null, 40, null, null, null, 10000, 475, 1000, 250, 3400, null, null, null, null, 3500, 10000, null, null, 2000, null, 500, 900, 600, null, 500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4" t="s">
        <v>118</v>
      </c>
    </row>
    <row r="2">
      <c r="A2" s="8">
        <v>1992.0</v>
      </c>
      <c r="B2" s="8">
        <v>50.0</v>
      </c>
      <c r="C2" s="8" t="s">
        <v>31</v>
      </c>
      <c r="D2" s="8" t="s">
        <v>11</v>
      </c>
    </row>
    <row r="3">
      <c r="A3" s="8">
        <v>1993.0</v>
      </c>
      <c r="B3" s="8">
        <v>100.0</v>
      </c>
      <c r="C3" s="8" t="s">
        <v>9</v>
      </c>
      <c r="D3" s="8" t="s">
        <v>11</v>
      </c>
    </row>
    <row r="4">
      <c r="A4" s="8">
        <v>1994.0</v>
      </c>
      <c r="B4" s="8">
        <v>5.0</v>
      </c>
      <c r="C4" s="8" t="s">
        <v>81</v>
      </c>
      <c r="D4" s="8" t="s">
        <v>11</v>
      </c>
    </row>
    <row r="5">
      <c r="A5" s="10">
        <v>1996.0</v>
      </c>
      <c r="B5" s="10">
        <v>300.0</v>
      </c>
      <c r="C5" s="10" t="s">
        <v>9</v>
      </c>
      <c r="D5" s="10" t="s">
        <v>11</v>
      </c>
    </row>
    <row r="6">
      <c r="A6" s="10">
        <v>1996.0</v>
      </c>
      <c r="B6" s="10">
        <v>400.0</v>
      </c>
      <c r="C6" s="10" t="s">
        <v>185</v>
      </c>
      <c r="D6" s="10" t="s">
        <v>11</v>
      </c>
    </row>
    <row r="7">
      <c r="A7" s="10">
        <v>2000.0</v>
      </c>
      <c r="B7" s="10">
        <v>1000.0</v>
      </c>
      <c r="C7" s="10" t="s">
        <v>9</v>
      </c>
      <c r="D7" s="10" t="s">
        <v>11</v>
      </c>
    </row>
    <row r="8">
      <c r="A8" s="8">
        <v>2001.0</v>
      </c>
      <c r="B8" s="8">
        <v>100.0</v>
      </c>
      <c r="C8" s="8" t="s">
        <v>186</v>
      </c>
      <c r="D8" s="8" t="s">
        <v>11</v>
      </c>
    </row>
    <row r="9">
      <c r="A9" s="8">
        <v>2002.0</v>
      </c>
      <c r="B9" s="8">
        <v>700.0</v>
      </c>
      <c r="C9" s="8" t="s">
        <v>9</v>
      </c>
      <c r="D9" s="8" t="s">
        <v>11</v>
      </c>
    </row>
    <row r="10">
      <c r="A10" s="8">
        <v>2003.0</v>
      </c>
      <c r="B10" s="8">
        <v>1350.0</v>
      </c>
      <c r="C10" s="8" t="s">
        <v>187</v>
      </c>
      <c r="D10" s="8" t="s">
        <v>20</v>
      </c>
    </row>
    <row r="11">
      <c r="A11" s="8">
        <v>2003.0</v>
      </c>
      <c r="B11" s="8">
        <v>2000.0</v>
      </c>
      <c r="C11" s="8" t="s">
        <v>188</v>
      </c>
      <c r="D11" s="8" t="s">
        <v>11</v>
      </c>
    </row>
    <row r="12">
      <c r="A12" s="10">
        <v>2004.0</v>
      </c>
      <c r="B12" s="10">
        <v>2300.0</v>
      </c>
      <c r="C12" s="10" t="s">
        <v>32</v>
      </c>
      <c r="D12" s="10" t="s">
        <v>11</v>
      </c>
    </row>
    <row r="13">
      <c r="A13" s="8">
        <v>2009.0</v>
      </c>
      <c r="B13" s="8">
        <v>200.0</v>
      </c>
      <c r="C13" s="8" t="s">
        <v>189</v>
      </c>
      <c r="D13" s="8" t="s">
        <v>11</v>
      </c>
    </row>
    <row r="14">
      <c r="A14" s="8">
        <v>2010.0</v>
      </c>
      <c r="B14" s="8">
        <v>700.0</v>
      </c>
      <c r="C14" s="8" t="s">
        <v>190</v>
      </c>
      <c r="D14" s="8" t="s">
        <v>11</v>
      </c>
    </row>
    <row r="15">
      <c r="A15" s="10">
        <v>2013.0</v>
      </c>
      <c r="B15" s="10">
        <v>300.0</v>
      </c>
      <c r="C15" s="10" t="s">
        <v>31</v>
      </c>
      <c r="D15" s="10" t="s">
        <v>11</v>
      </c>
    </row>
    <row r="16">
      <c r="A16" s="10">
        <v>2015.0</v>
      </c>
      <c r="B16" s="10">
        <v>50.0</v>
      </c>
      <c r="C16" s="30" t="s">
        <v>191</v>
      </c>
      <c r="D16" s="10" t="s">
        <v>11</v>
      </c>
    </row>
    <row r="17">
      <c r="A17" s="10">
        <v>2016.0</v>
      </c>
      <c r="B17" s="10">
        <v>50.0</v>
      </c>
      <c r="C17" s="30" t="s">
        <v>192</v>
      </c>
      <c r="D17" s="10" t="s">
        <v>11</v>
      </c>
    </row>
    <row r="18">
      <c r="A18" s="8">
        <v>2017.0</v>
      </c>
      <c r="B18" s="8">
        <v>50.0</v>
      </c>
      <c r="C18" s="8" t="s">
        <v>193</v>
      </c>
      <c r="D18" s="8" t="s">
        <v>11</v>
      </c>
    </row>
    <row r="19">
      <c r="A19" s="8">
        <v>2018.0</v>
      </c>
      <c r="B19" s="8">
        <v>30.0</v>
      </c>
      <c r="C19" s="8" t="s">
        <v>194</v>
      </c>
      <c r="D19" s="8" t="s">
        <v>11</v>
      </c>
    </row>
    <row r="20">
      <c r="A20" s="10">
        <v>2019.0</v>
      </c>
      <c r="B20" s="10">
        <v>100.0</v>
      </c>
      <c r="C20" s="10" t="s">
        <v>195</v>
      </c>
      <c r="D20" s="10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mergeCells count="1">
    <mergeCell ref="E1:M1"/>
  </mergeCells>
  <conditionalFormatting sqref="A2:D20">
    <cfRule type="expression" dxfId="0" priority="1">
      <formula>$D2="policja"</formula>
    </cfRule>
  </conditionalFormatting>
  <conditionalFormatting sqref="A2:D20">
    <cfRule type="expression" dxfId="1" priority="2">
      <formula>$D2="prasa"</formula>
    </cfRule>
  </conditionalFormatting>
  <conditionalFormatting sqref="A2:D20">
    <cfRule type="expression" dxfId="2" priority="3">
      <formula>$D2="organizatorzy"</formula>
    </cfRule>
  </conditionalFormatting>
  <hyperlinks>
    <hyperlink r:id="rId1" ref="C16"/>
    <hyperlink r:id="rId2" ref="C17"/>
  </hyperlinks>
  <printOptions/>
  <pageMargins bottom="1.0" footer="0.0" header="0.0" left="0.75" right="0.75" top="1.0"/>
  <pageSetup paperSize="9" orientation="portrait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</row>
    <row r="2">
      <c r="A2" s="11">
        <v>1990.0</v>
      </c>
      <c r="B2" s="17" t="str">
        <f>IFERROR(AVERAGEIFS(Dane_Nazi!$B$2:$B$20,Dane_Nazi!$A$2:$A$20,$A2,Dane_Nazi!$D$2:$D$20,"prasa"),"")</f>
        <v/>
      </c>
      <c r="C2" s="17" t="str">
        <f>IFERROR(AVERAGEIFS(Dane_Nazi!$B$2:$B$20,Dane_Nazi!$A$2:$A$20,$A2,Dane_Nazi!$D$2:$D$20,"organizatorzy"),"")</f>
        <v/>
      </c>
      <c r="D2" s="17" t="str">
        <f>IFERROR(AVERAGEIFS(Dane_Nazi!$B$2:$B$20,Dane_Nazi!$A$2:$A$20,$A2,Dane_Nazi!$D$2:$D$20,"policja"),"")</f>
        <v/>
      </c>
      <c r="E2" s="20" t="str">
        <f t="shared" ref="E2:E31" si="1">IFERROR((0.5*IF(B2&lt;&gt;"",B2,0) + 0.25*IF(C2&lt;&gt;"",C2,0) + 0.25*IF(D2&lt;&gt;"",D2,0))/(0.5*IF(B2&lt;&gt;"",1,0) + 0.25*IF(C2&lt;&gt;"",1,0) + 0.25*IF(D2&lt;&gt;"",1,0)),"")</f>
        <v/>
      </c>
      <c r="F2" s="20" t="str">
        <f>IFERROR(AVERAGEIFS(Dane_Nazi!$B$2:$B$20,Dane_Nazi!$A$2:$A$20,$A2),"")</f>
        <v/>
      </c>
      <c r="G2" s="21">
        <f t="shared" ref="G2:G31" si="2">E2-F2</f>
        <v>0</v>
      </c>
    </row>
    <row r="3">
      <c r="A3" s="11">
        <v>1991.0</v>
      </c>
      <c r="B3" s="17" t="str">
        <f>IFERROR(AVERAGEIFS(Dane_Nazi!$B$2:$B$20,Dane_Nazi!$A$2:$A$20,$A3,Dane_Nazi!$D$2:$D$20,"prasa"),"")</f>
        <v/>
      </c>
      <c r="C3" s="17" t="str">
        <f>IFERROR(AVERAGEIFS(Dane_Nazi!$B$2:$B$20,Dane_Nazi!$A$2:$A$20,$A3,Dane_Nazi!$D$2:$D$20,"organizatorzy"),"")</f>
        <v/>
      </c>
      <c r="D3" s="17" t="str">
        <f>IFERROR(AVERAGEIFS(Dane_Nazi!$B$2:$B$20,Dane_Nazi!$A$2:$A$20,$A3,Dane_Nazi!$D$2:$D$20,"policja"),"")</f>
        <v/>
      </c>
      <c r="E3" s="20" t="str">
        <f t="shared" si="1"/>
        <v/>
      </c>
      <c r="F3" s="20" t="str">
        <f>IFERROR(AVERAGEIFS(Dane_Nazi!$B$2:$B$20,Dane_Nazi!$A$2:$A$20,$A3),"")</f>
        <v/>
      </c>
      <c r="G3" s="21">
        <f t="shared" si="2"/>
        <v>0</v>
      </c>
    </row>
    <row r="4">
      <c r="A4" s="11">
        <v>1992.0</v>
      </c>
      <c r="B4" s="17">
        <f>IFERROR(AVERAGEIFS(Dane_Nazi!$B$2:$B$20,Dane_Nazi!$A$2:$A$20,$A4,Dane_Nazi!$D$2:$D$20,"prasa"),"")</f>
        <v>50</v>
      </c>
      <c r="C4" s="17" t="str">
        <f>IFERROR(AVERAGEIFS(Dane_Nazi!$B$2:$B$20,Dane_Nazi!$A$2:$A$20,$A4,Dane_Nazi!$D$2:$D$20,"organizatorzy"),"")</f>
        <v/>
      </c>
      <c r="D4" s="17" t="str">
        <f>IFERROR(AVERAGEIFS(Dane_Nazi!$B$2:$B$20,Dane_Nazi!$A$2:$A$20,$A4,Dane_Nazi!$D$2:$D$20,"policja"),"")</f>
        <v/>
      </c>
      <c r="E4" s="20">
        <f t="shared" si="1"/>
        <v>50</v>
      </c>
      <c r="F4" s="20">
        <f>IFERROR(AVERAGEIFS(Dane_Nazi!$B$2:$B$20,Dane_Nazi!$A$2:$A$20,$A4),"")</f>
        <v>50</v>
      </c>
      <c r="G4" s="21">
        <f t="shared" si="2"/>
        <v>0</v>
      </c>
    </row>
    <row r="5">
      <c r="A5" s="11">
        <v>1993.0</v>
      </c>
      <c r="B5" s="17">
        <f>IFERROR(AVERAGEIFS(Dane_Nazi!$B$2:$B$20,Dane_Nazi!$A$2:$A$20,$A5,Dane_Nazi!$D$2:$D$20,"prasa"),"")</f>
        <v>100</v>
      </c>
      <c r="C5" s="17" t="str">
        <f>IFERROR(AVERAGEIFS(Dane_Nazi!$B$2:$B$20,Dane_Nazi!$A$2:$A$20,$A5,Dane_Nazi!$D$2:$D$20,"organizatorzy"),"")</f>
        <v/>
      </c>
      <c r="D5" s="17" t="str">
        <f>IFERROR(AVERAGEIFS(Dane_Nazi!$B$2:$B$20,Dane_Nazi!$A$2:$A$20,$A5,Dane_Nazi!$D$2:$D$20,"policja"),"")</f>
        <v/>
      </c>
      <c r="E5" s="20">
        <f t="shared" si="1"/>
        <v>100</v>
      </c>
      <c r="F5" s="20">
        <f>IFERROR(AVERAGEIFS(Dane_Nazi!$B$2:$B$20,Dane_Nazi!$A$2:$A$20,$A5),"")</f>
        <v>100</v>
      </c>
      <c r="G5" s="21">
        <f t="shared" si="2"/>
        <v>0</v>
      </c>
    </row>
    <row r="6">
      <c r="A6" s="11">
        <v>1994.0</v>
      </c>
      <c r="B6" s="17">
        <f>IFERROR(AVERAGEIFS(Dane_Nazi!$B$2:$B$20,Dane_Nazi!$A$2:$A$20,$A6,Dane_Nazi!$D$2:$D$20,"prasa"),"")</f>
        <v>5</v>
      </c>
      <c r="C6" s="17" t="str">
        <f>IFERROR(AVERAGEIFS(Dane_Nazi!$B$2:$B$20,Dane_Nazi!$A$2:$A$20,$A6,Dane_Nazi!$D$2:$D$20,"organizatorzy"),"")</f>
        <v/>
      </c>
      <c r="D6" s="17" t="str">
        <f>IFERROR(AVERAGEIFS(Dane_Nazi!$B$2:$B$20,Dane_Nazi!$A$2:$A$20,$A6,Dane_Nazi!$D$2:$D$20,"policja"),"")</f>
        <v/>
      </c>
      <c r="E6" s="20">
        <f t="shared" si="1"/>
        <v>5</v>
      </c>
      <c r="F6" s="20">
        <f>IFERROR(AVERAGEIFS(Dane_Nazi!$B$2:$B$20,Dane_Nazi!$A$2:$A$20,$A6),"")</f>
        <v>5</v>
      </c>
      <c r="G6" s="21">
        <f t="shared" si="2"/>
        <v>0</v>
      </c>
    </row>
    <row r="7">
      <c r="A7" s="11">
        <v>1995.0</v>
      </c>
      <c r="B7" s="17" t="str">
        <f>IFERROR(AVERAGEIFS(Dane_Nazi!$B$2:$B$20,Dane_Nazi!$A$2:$A$20,$A7,Dane_Nazi!$D$2:$D$20,"prasa"),"")</f>
        <v/>
      </c>
      <c r="C7" s="17" t="str">
        <f>IFERROR(AVERAGEIFS(Dane_Nazi!$B$2:$B$20,Dane_Nazi!$A$2:$A$20,$A7,Dane_Nazi!$D$2:$D$20,"organizatorzy"),"")</f>
        <v/>
      </c>
      <c r="D7" s="17" t="str">
        <f>IFERROR(AVERAGEIFS(Dane_Nazi!$B$2:$B$20,Dane_Nazi!$A$2:$A$20,$A7,Dane_Nazi!$D$2:$D$20,"policja"),"")</f>
        <v/>
      </c>
      <c r="E7" s="20" t="str">
        <f t="shared" si="1"/>
        <v/>
      </c>
      <c r="F7" s="20" t="str">
        <f>IFERROR(AVERAGEIFS(Dane_Nazi!$B$2:$B$20,Dane_Nazi!$A$2:$A$20,$A7),"")</f>
        <v/>
      </c>
      <c r="G7" s="21">
        <f t="shared" si="2"/>
        <v>0</v>
      </c>
    </row>
    <row r="8">
      <c r="A8" s="11">
        <v>1996.0</v>
      </c>
      <c r="B8" s="17">
        <f>IFERROR(AVERAGEIFS(Dane_Nazi!$B$2:$B$20,Dane_Nazi!$A$2:$A$20,$A8,Dane_Nazi!$D$2:$D$20,"prasa"),"")</f>
        <v>350</v>
      </c>
      <c r="C8" s="17" t="str">
        <f>IFERROR(AVERAGEIFS(Dane_Nazi!$B$2:$B$20,Dane_Nazi!$A$2:$A$20,$A8,Dane_Nazi!$D$2:$D$20,"organizatorzy"),"")</f>
        <v/>
      </c>
      <c r="D8" s="17" t="str">
        <f>IFERROR(AVERAGEIFS(Dane_Nazi!$B$2:$B$20,Dane_Nazi!$A$2:$A$20,$A8,Dane_Nazi!$D$2:$D$20,"policja"),"")</f>
        <v/>
      </c>
      <c r="E8" s="20">
        <f t="shared" si="1"/>
        <v>350</v>
      </c>
      <c r="F8" s="20">
        <f>IFERROR(AVERAGEIFS(Dane_Nazi!$B$2:$B$20,Dane_Nazi!$A$2:$A$20,$A8),"")</f>
        <v>350</v>
      </c>
      <c r="G8" s="21">
        <f t="shared" si="2"/>
        <v>0</v>
      </c>
    </row>
    <row r="9">
      <c r="A9" s="11">
        <v>1997.0</v>
      </c>
      <c r="B9" s="17" t="str">
        <f>IFERROR(AVERAGEIFS(Dane_Nazi!$B$2:$B$20,Dane_Nazi!$A$2:$A$20,$A9,Dane_Nazi!$D$2:$D$20,"prasa"),"")</f>
        <v/>
      </c>
      <c r="C9" s="17" t="str">
        <f>IFERROR(AVERAGEIFS(Dane_Nazi!$B$2:$B$20,Dane_Nazi!$A$2:$A$20,$A9,Dane_Nazi!$D$2:$D$20,"organizatorzy"),"")</f>
        <v/>
      </c>
      <c r="D9" s="17" t="str">
        <f>IFERROR(AVERAGEIFS(Dane_Nazi!$B$2:$B$20,Dane_Nazi!$A$2:$A$20,$A9,Dane_Nazi!$D$2:$D$20,"policja"),"")</f>
        <v/>
      </c>
      <c r="E9" s="20" t="str">
        <f t="shared" si="1"/>
        <v/>
      </c>
      <c r="F9" s="20" t="str">
        <f>IFERROR(AVERAGEIFS(Dane_Nazi!$B$2:$B$20,Dane_Nazi!$A$2:$A$20,$A9),"")</f>
        <v/>
      </c>
      <c r="G9" s="21">
        <f t="shared" si="2"/>
        <v>0</v>
      </c>
    </row>
    <row r="10">
      <c r="A10" s="11">
        <v>1998.0</v>
      </c>
      <c r="B10" s="17" t="str">
        <f>IFERROR(AVERAGEIFS(Dane_Nazi!$B$2:$B$20,Dane_Nazi!$A$2:$A$20,$A10,Dane_Nazi!$D$2:$D$20,"prasa"),"")</f>
        <v/>
      </c>
      <c r="C10" s="17" t="str">
        <f>IFERROR(AVERAGEIFS(Dane_Nazi!$B$2:$B$20,Dane_Nazi!$A$2:$A$20,$A10,Dane_Nazi!$D$2:$D$20,"organizatorzy"),"")</f>
        <v/>
      </c>
      <c r="D10" s="17" t="str">
        <f>IFERROR(AVERAGEIFS(Dane_Nazi!$B$2:$B$20,Dane_Nazi!$A$2:$A$20,$A10,Dane_Nazi!$D$2:$D$20,"policja"),"")</f>
        <v/>
      </c>
      <c r="E10" s="20" t="str">
        <f t="shared" si="1"/>
        <v/>
      </c>
      <c r="F10" s="20" t="str">
        <f>IFERROR(AVERAGEIFS(Dane_Nazi!$B$2:$B$20,Dane_Nazi!$A$2:$A$20,$A10),"")</f>
        <v/>
      </c>
      <c r="G10" s="21">
        <f t="shared" si="2"/>
        <v>0</v>
      </c>
    </row>
    <row r="11">
      <c r="A11" s="11">
        <v>1999.0</v>
      </c>
      <c r="B11" s="17" t="str">
        <f>IFERROR(AVERAGEIFS(Dane_Nazi!$B$2:$B$20,Dane_Nazi!$A$2:$A$20,$A11,Dane_Nazi!$D$2:$D$20,"prasa"),"")</f>
        <v/>
      </c>
      <c r="C11" s="17" t="str">
        <f>IFERROR(AVERAGEIFS(Dane_Nazi!$B$2:$B$20,Dane_Nazi!$A$2:$A$20,$A11,Dane_Nazi!$D$2:$D$20,"organizatorzy"),"")</f>
        <v/>
      </c>
      <c r="D11" s="17" t="str">
        <f>IFERROR(AVERAGEIFS(Dane_Nazi!$B$2:$B$20,Dane_Nazi!$A$2:$A$20,$A11,Dane_Nazi!$D$2:$D$20,"policja"),"")</f>
        <v/>
      </c>
      <c r="E11" s="20" t="str">
        <f t="shared" si="1"/>
        <v/>
      </c>
      <c r="F11" s="20" t="str">
        <f>IFERROR(AVERAGEIFS(Dane_Nazi!$B$2:$B$20,Dane_Nazi!$A$2:$A$20,$A11),"")</f>
        <v/>
      </c>
      <c r="G11" s="21">
        <f t="shared" si="2"/>
        <v>0</v>
      </c>
    </row>
    <row r="12">
      <c r="A12" s="11">
        <v>2000.0</v>
      </c>
      <c r="B12" s="17">
        <f>IFERROR(AVERAGEIFS(Dane_Nazi!$B$2:$B$20,Dane_Nazi!$A$2:$A$20,$A12,Dane_Nazi!$D$2:$D$20,"prasa"),"")</f>
        <v>1000</v>
      </c>
      <c r="C12" s="17" t="str">
        <f>IFERROR(AVERAGEIFS(Dane_Nazi!$B$2:$B$20,Dane_Nazi!$A$2:$A$20,$A12,Dane_Nazi!$D$2:$D$20,"organizatorzy"),"")</f>
        <v/>
      </c>
      <c r="D12" s="17" t="str">
        <f>IFERROR(AVERAGEIFS(Dane_Nazi!$B$2:$B$20,Dane_Nazi!$A$2:$A$20,$A12,Dane_Nazi!$D$2:$D$20,"policja"),"")</f>
        <v/>
      </c>
      <c r="E12" s="20">
        <f t="shared" si="1"/>
        <v>1000</v>
      </c>
      <c r="F12" s="20">
        <f>IFERROR(AVERAGEIFS(Dane_Nazi!$B$2:$B$20,Dane_Nazi!$A$2:$A$20,$A12),"")</f>
        <v>1000</v>
      </c>
      <c r="G12" s="21">
        <f t="shared" si="2"/>
        <v>0</v>
      </c>
    </row>
    <row r="13">
      <c r="A13" s="11">
        <v>2001.0</v>
      </c>
      <c r="B13" s="17">
        <f>IFERROR(AVERAGEIFS(Dane_Nazi!$B$2:$B$20,Dane_Nazi!$A$2:$A$20,$A13,Dane_Nazi!$D$2:$D$20,"prasa"),"")</f>
        <v>100</v>
      </c>
      <c r="C13" s="17" t="str">
        <f>IFERROR(AVERAGEIFS(Dane_Nazi!$B$2:$B$20,Dane_Nazi!$A$2:$A$20,$A13,Dane_Nazi!$D$2:$D$20,"organizatorzy"),"")</f>
        <v/>
      </c>
      <c r="D13" s="17" t="str">
        <f>IFERROR(AVERAGEIFS(Dane_Nazi!$B$2:$B$20,Dane_Nazi!$A$2:$A$20,$A13,Dane_Nazi!$D$2:$D$20,"policja"),"")</f>
        <v/>
      </c>
      <c r="E13" s="20">
        <f t="shared" si="1"/>
        <v>100</v>
      </c>
      <c r="F13" s="20">
        <f>IFERROR(AVERAGEIFS(Dane_Nazi!$B$2:$B$20,Dane_Nazi!$A$2:$A$20,$A13),"")</f>
        <v>100</v>
      </c>
      <c r="G13" s="21">
        <f t="shared" si="2"/>
        <v>0</v>
      </c>
    </row>
    <row r="14">
      <c r="A14" s="11">
        <v>2002.0</v>
      </c>
      <c r="B14" s="17">
        <f>IFERROR(AVERAGEIFS(Dane_Nazi!$B$2:$B$20,Dane_Nazi!$A$2:$A$20,$A14,Dane_Nazi!$D$2:$D$20,"prasa"),"")</f>
        <v>700</v>
      </c>
      <c r="C14" s="17" t="str">
        <f>IFERROR(AVERAGEIFS(Dane_Nazi!$B$2:$B$20,Dane_Nazi!$A$2:$A$20,$A14,Dane_Nazi!$D$2:$D$20,"organizatorzy"),"")</f>
        <v/>
      </c>
      <c r="D14" s="17" t="str">
        <f>IFERROR(AVERAGEIFS(Dane_Nazi!$B$2:$B$20,Dane_Nazi!$A$2:$A$20,$A14,Dane_Nazi!$D$2:$D$20,"policja"),"")</f>
        <v/>
      </c>
      <c r="E14" s="20">
        <f t="shared" si="1"/>
        <v>700</v>
      </c>
      <c r="F14" s="20">
        <f>IFERROR(AVERAGEIFS(Dane_Nazi!$B$2:$B$20,Dane_Nazi!$A$2:$A$20,$A14),"")</f>
        <v>700</v>
      </c>
      <c r="G14" s="21">
        <f t="shared" si="2"/>
        <v>0</v>
      </c>
    </row>
    <row r="15">
      <c r="A15" s="11">
        <v>2003.0</v>
      </c>
      <c r="B15" s="17">
        <f>IFERROR(AVERAGEIFS(Dane_Nazi!$B$2:$B$20,Dane_Nazi!$A$2:$A$20,$A15,Dane_Nazi!$D$2:$D$20,"prasa"),"")</f>
        <v>2000</v>
      </c>
      <c r="C15" s="17" t="str">
        <f>IFERROR(AVERAGEIFS(Dane_Nazi!$B$2:$B$20,Dane_Nazi!$A$2:$A$20,$A15,Dane_Nazi!$D$2:$D$20,"organizatorzy"),"")</f>
        <v/>
      </c>
      <c r="D15" s="17">
        <f>IFERROR(AVERAGEIFS(Dane_Nazi!$B$2:$B$20,Dane_Nazi!$A$2:$A$20,$A15,Dane_Nazi!$D$2:$D$20,"policja"),"")</f>
        <v>1350</v>
      </c>
      <c r="E15" s="20">
        <f t="shared" si="1"/>
        <v>1783.333333</v>
      </c>
      <c r="F15" s="20">
        <f>IFERROR(AVERAGEIFS(Dane_Nazi!$B$2:$B$20,Dane_Nazi!$A$2:$A$20,$A15),"")</f>
        <v>1675</v>
      </c>
      <c r="G15" s="21">
        <f t="shared" si="2"/>
        <v>108.3333333</v>
      </c>
    </row>
    <row r="16">
      <c r="A16" s="11">
        <v>2004.0</v>
      </c>
      <c r="B16" s="17">
        <f>IFERROR(AVERAGEIFS(Dane_Nazi!$B$2:$B$20,Dane_Nazi!$A$2:$A$20,$A16,Dane_Nazi!$D$2:$D$20,"prasa"),"")</f>
        <v>2300</v>
      </c>
      <c r="C16" s="17" t="str">
        <f>IFERROR(AVERAGEIFS(Dane_Nazi!$B$2:$B$20,Dane_Nazi!$A$2:$A$20,$A16,Dane_Nazi!$D$2:$D$20,"organizatorzy"),"")</f>
        <v/>
      </c>
      <c r="D16" s="17" t="str">
        <f>IFERROR(AVERAGEIFS(Dane_Nazi!$B$2:$B$20,Dane_Nazi!$A$2:$A$20,$A16,Dane_Nazi!$D$2:$D$20,"policja"),"")</f>
        <v/>
      </c>
      <c r="E16" s="20">
        <f t="shared" si="1"/>
        <v>2300</v>
      </c>
      <c r="F16" s="20">
        <f>IFERROR(AVERAGEIFS(Dane_Nazi!$B$2:$B$20,Dane_Nazi!$A$2:$A$20,$A16),"")</f>
        <v>2300</v>
      </c>
      <c r="G16" s="21">
        <f t="shared" si="2"/>
        <v>0</v>
      </c>
    </row>
    <row r="17">
      <c r="A17" s="11">
        <v>2005.0</v>
      </c>
      <c r="B17" s="17" t="str">
        <f>IFERROR(AVERAGEIFS(Dane_Nazi!$B$2:$B$20,Dane_Nazi!$A$2:$A$20,$A17,Dane_Nazi!$D$2:$D$20,"prasa"),"")</f>
        <v/>
      </c>
      <c r="C17" s="17" t="str">
        <f>IFERROR(AVERAGEIFS(Dane_Nazi!$B$2:$B$20,Dane_Nazi!$A$2:$A$20,$A17,Dane_Nazi!$D$2:$D$20,"organizatorzy"),"")</f>
        <v/>
      </c>
      <c r="D17" s="17" t="str">
        <f>IFERROR(AVERAGEIFS(Dane_Nazi!$B$2:$B$20,Dane_Nazi!$A$2:$A$20,$A17,Dane_Nazi!$D$2:$D$20,"policja"),"")</f>
        <v/>
      </c>
      <c r="E17" s="20" t="str">
        <f t="shared" si="1"/>
        <v/>
      </c>
      <c r="F17" s="20" t="str">
        <f>IFERROR(AVERAGEIFS(Dane_Nazi!$B$2:$B$20,Dane_Nazi!$A$2:$A$20,$A17),"")</f>
        <v/>
      </c>
      <c r="G17" s="21">
        <f t="shared" si="2"/>
        <v>0</v>
      </c>
    </row>
    <row r="18">
      <c r="A18" s="11">
        <v>2006.0</v>
      </c>
      <c r="B18" s="17" t="str">
        <f>IFERROR(AVERAGEIFS(Dane_Nazi!$B$2:$B$20,Dane_Nazi!$A$2:$A$20,$A18,Dane_Nazi!$D$2:$D$20,"prasa"),"")</f>
        <v/>
      </c>
      <c r="C18" s="17" t="str">
        <f>IFERROR(AVERAGEIFS(Dane_Nazi!$B$2:$B$20,Dane_Nazi!$A$2:$A$20,$A18,Dane_Nazi!$D$2:$D$20,"organizatorzy"),"")</f>
        <v/>
      </c>
      <c r="D18" s="17" t="str">
        <f>IFERROR(AVERAGEIFS(Dane_Nazi!$B$2:$B$20,Dane_Nazi!$A$2:$A$20,$A18,Dane_Nazi!$D$2:$D$20,"policja"),"")</f>
        <v/>
      </c>
      <c r="E18" s="20" t="str">
        <f t="shared" si="1"/>
        <v/>
      </c>
      <c r="F18" s="20" t="str">
        <f>IFERROR(AVERAGEIFS(Dane_Nazi!$B$2:$B$20,Dane_Nazi!$A$2:$A$20,$A18),"")</f>
        <v/>
      </c>
      <c r="G18" s="21">
        <f t="shared" si="2"/>
        <v>0</v>
      </c>
    </row>
    <row r="19">
      <c r="A19" s="11">
        <v>2007.0</v>
      </c>
      <c r="B19" s="17" t="str">
        <f>IFERROR(AVERAGEIFS(Dane_Nazi!$B$2:$B$20,Dane_Nazi!$A$2:$A$20,$A19,Dane_Nazi!$D$2:$D$20,"prasa"),"")</f>
        <v/>
      </c>
      <c r="C19" s="17" t="str">
        <f>IFERROR(AVERAGEIFS(Dane_Nazi!$B$2:$B$20,Dane_Nazi!$A$2:$A$20,$A19,Dane_Nazi!$D$2:$D$20,"organizatorzy"),"")</f>
        <v/>
      </c>
      <c r="D19" s="17" t="str">
        <f>IFERROR(AVERAGEIFS(Dane_Nazi!$B$2:$B$20,Dane_Nazi!$A$2:$A$20,$A19,Dane_Nazi!$D$2:$D$20,"policja"),"")</f>
        <v/>
      </c>
      <c r="E19" s="20" t="str">
        <f t="shared" si="1"/>
        <v/>
      </c>
      <c r="F19" s="20" t="str">
        <f>IFERROR(AVERAGEIFS(Dane_Nazi!$B$2:$B$20,Dane_Nazi!$A$2:$A$20,$A19),"")</f>
        <v/>
      </c>
      <c r="G19" s="21">
        <f t="shared" si="2"/>
        <v>0</v>
      </c>
    </row>
    <row r="20">
      <c r="A20" s="11">
        <v>2008.0</v>
      </c>
      <c r="B20" s="17" t="str">
        <f>IFERROR(AVERAGEIFS(Dane_Nazi!$B$2:$B$20,Dane_Nazi!$A$2:$A$20,$A20,Dane_Nazi!$D$2:$D$20,"prasa"),"")</f>
        <v/>
      </c>
      <c r="C20" s="17" t="str">
        <f>IFERROR(AVERAGEIFS(Dane_Nazi!$B$2:$B$20,Dane_Nazi!$A$2:$A$20,$A20,Dane_Nazi!$D$2:$D$20,"organizatorzy"),"")</f>
        <v/>
      </c>
      <c r="D20" s="17" t="str">
        <f>IFERROR(AVERAGEIFS(Dane_Nazi!$B$2:$B$20,Dane_Nazi!$A$2:$A$20,$A20,Dane_Nazi!$D$2:$D$20,"policja"),"")</f>
        <v/>
      </c>
      <c r="E20" s="20" t="str">
        <f t="shared" si="1"/>
        <v/>
      </c>
      <c r="F20" s="20" t="str">
        <f>IFERROR(AVERAGEIFS(Dane_Nazi!$B$2:$B$20,Dane_Nazi!$A$2:$A$20,$A20),"")</f>
        <v/>
      </c>
      <c r="G20" s="21">
        <f t="shared" si="2"/>
        <v>0</v>
      </c>
    </row>
    <row r="21" ht="15.75" customHeight="1">
      <c r="A21" s="11">
        <v>2009.0</v>
      </c>
      <c r="B21" s="17">
        <f>IFERROR(AVERAGEIFS(Dane_Nazi!$B$2:$B$20,Dane_Nazi!$A$2:$A$20,$A21,Dane_Nazi!$D$2:$D$20,"prasa"),"")</f>
        <v>200</v>
      </c>
      <c r="C21" s="17" t="str">
        <f>IFERROR(AVERAGEIFS(Dane_Nazi!$B$2:$B$20,Dane_Nazi!$A$2:$A$20,$A21,Dane_Nazi!$D$2:$D$20,"organizatorzy"),"")</f>
        <v/>
      </c>
      <c r="D21" s="17" t="str">
        <f>IFERROR(AVERAGEIFS(Dane_Nazi!$B$2:$B$20,Dane_Nazi!$A$2:$A$20,$A21,Dane_Nazi!$D$2:$D$20,"policja"),"")</f>
        <v/>
      </c>
      <c r="E21" s="20">
        <f t="shared" si="1"/>
        <v>200</v>
      </c>
      <c r="F21" s="20">
        <f>IFERROR(AVERAGEIFS(Dane_Nazi!$B$2:$B$20,Dane_Nazi!$A$2:$A$20,$A21),"")</f>
        <v>200</v>
      </c>
      <c r="G21" s="21">
        <f t="shared" si="2"/>
        <v>0</v>
      </c>
    </row>
    <row r="22" ht="15.75" customHeight="1">
      <c r="A22" s="11">
        <v>2010.0</v>
      </c>
      <c r="B22" s="17">
        <f>IFERROR(AVERAGEIFS(Dane_Nazi!$B$2:$B$20,Dane_Nazi!$A$2:$A$20,$A22,Dane_Nazi!$D$2:$D$20,"prasa"),"")</f>
        <v>700</v>
      </c>
      <c r="C22" s="17" t="str">
        <f>IFERROR(AVERAGEIFS(Dane_Nazi!$B$2:$B$20,Dane_Nazi!$A$2:$A$20,$A22,Dane_Nazi!$D$2:$D$20,"organizatorzy"),"")</f>
        <v/>
      </c>
      <c r="D22" s="17" t="str">
        <f>IFERROR(AVERAGEIFS(Dane_Nazi!$B$2:$B$20,Dane_Nazi!$A$2:$A$20,$A22,Dane_Nazi!$D$2:$D$20,"policja"),"")</f>
        <v/>
      </c>
      <c r="E22" s="20">
        <f t="shared" si="1"/>
        <v>700</v>
      </c>
      <c r="F22" s="20">
        <f>IFERROR(AVERAGEIFS(Dane_Nazi!$B$2:$B$20,Dane_Nazi!$A$2:$A$20,$A22),"")</f>
        <v>700</v>
      </c>
      <c r="G22" s="21">
        <f t="shared" si="2"/>
        <v>0</v>
      </c>
    </row>
    <row r="23" ht="15.75" customHeight="1">
      <c r="A23" s="11">
        <v>2011.0</v>
      </c>
      <c r="B23" s="17" t="str">
        <f>IFERROR(AVERAGEIFS(Dane_Nazi!$B$2:$B$20,Dane_Nazi!$A$2:$A$20,$A23,Dane_Nazi!$D$2:$D$20,"prasa"),"")</f>
        <v/>
      </c>
      <c r="C23" s="17" t="str">
        <f>IFERROR(AVERAGEIFS(Dane_Nazi!$B$2:$B$20,Dane_Nazi!$A$2:$A$20,$A23,Dane_Nazi!$D$2:$D$20,"organizatorzy"),"")</f>
        <v/>
      </c>
      <c r="D23" s="17" t="str">
        <f>IFERROR(AVERAGEIFS(Dane_Nazi!$B$2:$B$20,Dane_Nazi!$A$2:$A$20,$A23,Dane_Nazi!$D$2:$D$20,"policja"),"")</f>
        <v/>
      </c>
      <c r="E23" s="20" t="str">
        <f t="shared" si="1"/>
        <v/>
      </c>
      <c r="F23" s="20" t="str">
        <f>IFERROR(AVERAGEIFS(Dane_Nazi!$B$2:$B$20,Dane_Nazi!$A$2:$A$20,$A23),"")</f>
        <v/>
      </c>
      <c r="G23" s="21">
        <f t="shared" si="2"/>
        <v>0</v>
      </c>
    </row>
    <row r="24" ht="15.75" customHeight="1">
      <c r="A24" s="11">
        <v>2012.0</v>
      </c>
      <c r="B24" s="17" t="str">
        <f>IFERROR(AVERAGEIFS(Dane_Nazi!$B$2:$B$20,Dane_Nazi!$A$2:$A$20,$A24,Dane_Nazi!$D$2:$D$20,"prasa"),"")</f>
        <v/>
      </c>
      <c r="C24" s="17" t="str">
        <f>IFERROR(AVERAGEIFS(Dane_Nazi!$B$2:$B$20,Dane_Nazi!$A$2:$A$20,$A24,Dane_Nazi!$D$2:$D$20,"organizatorzy"),"")</f>
        <v/>
      </c>
      <c r="D24" s="17" t="str">
        <f>IFERROR(AVERAGEIFS(Dane_Nazi!$B$2:$B$20,Dane_Nazi!$A$2:$A$20,$A24,Dane_Nazi!$D$2:$D$20,"policja"),"")</f>
        <v/>
      </c>
      <c r="E24" s="20" t="str">
        <f t="shared" si="1"/>
        <v/>
      </c>
      <c r="F24" s="20" t="str">
        <f>IFERROR(AVERAGEIFS(Dane_Nazi!$B$2:$B$20,Dane_Nazi!$A$2:$A$20,$A24),"")</f>
        <v/>
      </c>
      <c r="G24" s="21">
        <f t="shared" si="2"/>
        <v>0</v>
      </c>
    </row>
    <row r="25" ht="15.75" customHeight="1">
      <c r="A25" s="11">
        <v>2013.0</v>
      </c>
      <c r="B25" s="17">
        <f>IFERROR(AVERAGEIFS(Dane_Nazi!$B$2:$B$20,Dane_Nazi!$A$2:$A$20,$A25,Dane_Nazi!$D$2:$D$20,"prasa"),"")</f>
        <v>300</v>
      </c>
      <c r="C25" s="17" t="str">
        <f>IFERROR(AVERAGEIFS(Dane_Nazi!$B$2:$B$20,Dane_Nazi!$A$2:$A$20,$A25,Dane_Nazi!$D$2:$D$20,"organizatorzy"),"")</f>
        <v/>
      </c>
      <c r="D25" s="17" t="str">
        <f>IFERROR(AVERAGEIFS(Dane_Nazi!$B$2:$B$20,Dane_Nazi!$A$2:$A$20,$A25,Dane_Nazi!$D$2:$D$20,"policja"),"")</f>
        <v/>
      </c>
      <c r="E25" s="20">
        <f t="shared" si="1"/>
        <v>300</v>
      </c>
      <c r="F25" s="20">
        <f>IFERROR(AVERAGEIFS(Dane_Nazi!$B$2:$B$20,Dane_Nazi!$A$2:$A$20,$A25),"")</f>
        <v>300</v>
      </c>
      <c r="G25" s="21">
        <f t="shared" si="2"/>
        <v>0</v>
      </c>
    </row>
    <row r="26" ht="15.75" customHeight="1">
      <c r="A26" s="11">
        <v>2014.0</v>
      </c>
      <c r="B26" s="17" t="str">
        <f>IFERROR(AVERAGEIFS(Dane_Nazi!$B$2:$B$20,Dane_Nazi!$A$2:$A$20,$A26,Dane_Nazi!$D$2:$D$20,"prasa"),"")</f>
        <v/>
      </c>
      <c r="C26" s="17" t="str">
        <f>IFERROR(AVERAGEIFS(Dane_Nazi!$B$2:$B$20,Dane_Nazi!$A$2:$A$20,$A26,Dane_Nazi!$D$2:$D$20,"organizatorzy"),"")</f>
        <v/>
      </c>
      <c r="D26" s="17" t="str">
        <f>IFERROR(AVERAGEIFS(Dane_Nazi!$B$2:$B$20,Dane_Nazi!$A$2:$A$20,$A26,Dane_Nazi!$D$2:$D$20,"policja"),"")</f>
        <v/>
      </c>
      <c r="E26" s="20" t="str">
        <f t="shared" si="1"/>
        <v/>
      </c>
      <c r="F26" s="20" t="str">
        <f>IFERROR(AVERAGEIFS(Dane_Nazi!$B$2:$B$20,Dane_Nazi!$A$2:$A$20,$A26),"")</f>
        <v/>
      </c>
      <c r="G26" s="21">
        <f t="shared" si="2"/>
        <v>0</v>
      </c>
    </row>
    <row r="27" ht="15.75" customHeight="1">
      <c r="A27" s="11">
        <v>2015.0</v>
      </c>
      <c r="B27" s="17">
        <f>IFERROR(AVERAGEIFS(Dane_Nazi!$B$2:$B$20,Dane_Nazi!$A$2:$A$20,$A27,Dane_Nazi!$D$2:$D$20,"prasa"),"")</f>
        <v>50</v>
      </c>
      <c r="C27" s="17" t="str">
        <f>IFERROR(AVERAGEIFS(Dane_Nazi!$B$2:$B$20,Dane_Nazi!$A$2:$A$20,$A27,Dane_Nazi!$D$2:$D$20,"organizatorzy"),"")</f>
        <v/>
      </c>
      <c r="D27" s="17" t="str">
        <f>IFERROR(AVERAGEIFS(Dane_Nazi!$B$2:$B$20,Dane_Nazi!$A$2:$A$20,$A27,Dane_Nazi!$D$2:$D$20,"policja"),"")</f>
        <v/>
      </c>
      <c r="E27" s="20">
        <f t="shared" si="1"/>
        <v>50</v>
      </c>
      <c r="F27" s="20">
        <f>IFERROR(AVERAGEIFS(Dane_Nazi!$B$2:$B$20,Dane_Nazi!$A$2:$A$20,$A27),"")</f>
        <v>50</v>
      </c>
      <c r="G27" s="21">
        <f t="shared" si="2"/>
        <v>0</v>
      </c>
    </row>
    <row r="28" ht="15.75" customHeight="1">
      <c r="A28" s="11">
        <v>2016.0</v>
      </c>
      <c r="B28" s="17">
        <f>IFERROR(AVERAGEIFS(Dane_Nazi!$B$2:$B$20,Dane_Nazi!$A$2:$A$20,$A28,Dane_Nazi!$D$2:$D$20,"prasa"),"")</f>
        <v>50</v>
      </c>
      <c r="C28" s="17" t="str">
        <f>IFERROR(AVERAGEIFS(Dane_Nazi!$B$2:$B$20,Dane_Nazi!$A$2:$A$20,$A28,Dane_Nazi!$D$2:$D$20,"organizatorzy"),"")</f>
        <v/>
      </c>
      <c r="D28" s="17" t="str">
        <f>IFERROR(AVERAGEIFS(Dane_Nazi!$B$2:$B$20,Dane_Nazi!$A$2:$A$20,$A28,Dane_Nazi!$D$2:$D$20,"policja"),"")</f>
        <v/>
      </c>
      <c r="E28" s="20">
        <f t="shared" si="1"/>
        <v>50</v>
      </c>
      <c r="F28" s="20">
        <f>IFERROR(AVERAGEIFS(Dane_Nazi!$B$2:$B$20,Dane_Nazi!$A$2:$A$20,$A28),"")</f>
        <v>50</v>
      </c>
      <c r="G28" s="21">
        <f t="shared" si="2"/>
        <v>0</v>
      </c>
    </row>
    <row r="29" ht="15.75" customHeight="1">
      <c r="A29" s="11">
        <v>2017.0</v>
      </c>
      <c r="B29" s="17">
        <f>IFERROR(AVERAGEIFS(Dane_Nazi!$B$2:$B$20,Dane_Nazi!$A$2:$A$20,$A29,Dane_Nazi!$D$2:$D$20,"prasa"),"")</f>
        <v>50</v>
      </c>
      <c r="C29" s="17" t="str">
        <f>IFERROR(AVERAGEIFS(Dane_Nazi!$B$2:$B$20,Dane_Nazi!$A$2:$A$20,$A29,Dane_Nazi!$D$2:$D$20,"organizatorzy"),"")</f>
        <v/>
      </c>
      <c r="D29" s="17" t="str">
        <f>IFERROR(AVERAGEIFS(Dane_Nazi!$B$2:$B$20,Dane_Nazi!$A$2:$A$20,$A29,Dane_Nazi!$D$2:$D$20,"policja"),"")</f>
        <v/>
      </c>
      <c r="E29" s="20">
        <f t="shared" si="1"/>
        <v>50</v>
      </c>
      <c r="F29" s="20">
        <f>IFERROR(AVERAGEIFS(Dane_Nazi!$B$2:$B$20,Dane_Nazi!$A$2:$A$20,$A29),"")</f>
        <v>50</v>
      </c>
      <c r="G29" s="21">
        <f t="shared" si="2"/>
        <v>0</v>
      </c>
    </row>
    <row r="30" ht="15.75" customHeight="1">
      <c r="A30" s="11">
        <v>2018.0</v>
      </c>
      <c r="B30" s="17">
        <f>IFERROR(AVERAGEIFS(Dane_Nazi!$B$2:$B$20,Dane_Nazi!$A$2:$A$20,$A30,Dane_Nazi!$D$2:$D$20,"prasa"),"")</f>
        <v>30</v>
      </c>
      <c r="C30" s="17" t="str">
        <f>IFERROR(AVERAGEIFS(Dane_Nazi!$B$2:$B$20,Dane_Nazi!$A$2:$A$20,$A30,Dane_Nazi!$D$2:$D$20,"organizatorzy"),"")</f>
        <v/>
      </c>
      <c r="D30" s="17" t="str">
        <f>IFERROR(AVERAGEIFS(Dane_Nazi!$B$2:$B$20,Dane_Nazi!$A$2:$A$20,$A30,Dane_Nazi!$D$2:$D$20,"policja"),"")</f>
        <v/>
      </c>
      <c r="E30" s="20">
        <f t="shared" si="1"/>
        <v>30</v>
      </c>
      <c r="F30" s="20">
        <f>IFERROR(AVERAGEIFS(Dane_Nazi!$B$2:$B$20,Dane_Nazi!$A$2:$A$20,$A30),"")</f>
        <v>30</v>
      </c>
      <c r="G30" s="21">
        <f t="shared" si="2"/>
        <v>0</v>
      </c>
    </row>
    <row r="31" ht="15.75" customHeight="1">
      <c r="A31" s="11">
        <v>2019.0</v>
      </c>
      <c r="B31" s="17" t="str">
        <f>IFERROR(AVERAGEIFS(Dane_Nazi!$B$2:$B$20,Dane_Nazi!$A$2:$A$20,$A31,Dane_Nazi!$D$2:$D$20,"prasa"),"")</f>
        <v/>
      </c>
      <c r="C31" s="17">
        <f>IFERROR(AVERAGEIFS(Dane_Nazi!$B$2:$B$20,Dane_Nazi!$A$2:$A$20,$A31,Dane_Nazi!$D$2:$D$20,"organizatorzy"),"")</f>
        <v>100</v>
      </c>
      <c r="D31" s="17" t="str">
        <f>IFERROR(AVERAGEIFS(Dane_Nazi!$B$2:$B$20,Dane_Nazi!$A$2:$A$20,$A31,Dane_Nazi!$D$2:$D$20,"policja"),"")</f>
        <v/>
      </c>
      <c r="E31" s="20">
        <f t="shared" si="1"/>
        <v>100</v>
      </c>
      <c r="F31" s="20">
        <f>IFERROR(AVERAGEIFS(Dane_Nazi!$B$2:$B$20,Dane_Nazi!$A$2:$A$20,$A31),"")</f>
        <v>100</v>
      </c>
      <c r="G31" s="21">
        <f t="shared" si="2"/>
        <v>0</v>
      </c>
    </row>
    <row r="32" ht="15.75" customHeight="1">
      <c r="E32" s="23" t="str">
        <f>IFERROR(
  (0.5*IF(B32&lt;&gt;"",B32,0) + 0.25*IF(C32&lt;&gt;"",C32,0) + 0.25*IF(D32&lt;&gt;"",D32,0))
  /
  (0.5*IF(B32&lt;&gt;"",1,0) + 0.25*IF(C32&lt;&gt;"",1,0) + 0.25*IF(D32&lt;&gt;"",1,0))
,"")</f>
        <v/>
      </c>
    </row>
    <row r="33" ht="15.75" customHeight="1"/>
    <row r="34" ht="15.75" customHeight="1"/>
    <row r="35" ht="15.75" customHeight="1"/>
    <row r="36" ht="15.75" customHeight="1"/>
    <row r="37" ht="15.75" customHeight="1">
      <c r="D37" s="23" t="str">
        <f>IFERROR(__xludf.DUMMYFUNCTION("JOIN("", "", IF(F2:F32="""", ""null"", F2:F32))"),"#VALUE!")</f>
        <v>#VALUE!</v>
      </c>
    </row>
    <row r="38" ht="15.75" customHeight="1"/>
    <row r="39" ht="15.75" customHeight="1"/>
    <row r="40" ht="15.75" customHeight="1">
      <c r="D40" s="23" t="str">
        <f>IFERROR(__xludf.DUMMYFUNCTION("ARRAYFORMULA(JOIN("", "", IF(F2:F31="""", ""null"", F2:F31)))"),"null, null, 50, 100, 5, null, 350, null, null, null, 1000, 100, 700, 1675, 2300, null, null, null, null, 200, 700, null, null, 300, null, 50, 50, 50, 30, 100")</f>
        <v>null, null, 50, 100, 5, null, 350, null, null, null, 1000, 100, 700, 1675, 2300, null, null, null, null, 200, 700, null, null, 300, null, 50, 50, 50, 30, 100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4" t="s">
        <v>196</v>
      </c>
    </row>
    <row r="2" ht="15.75" customHeight="1">
      <c r="A2" s="6">
        <v>2003.0</v>
      </c>
      <c r="B2" s="8">
        <v>20000.0</v>
      </c>
      <c r="C2" s="8" t="s">
        <v>197</v>
      </c>
      <c r="D2" s="8" t="s">
        <v>11</v>
      </c>
    </row>
    <row r="3" ht="15.75" customHeight="1">
      <c r="A3" s="13">
        <v>2004.0</v>
      </c>
      <c r="B3" s="13">
        <v>30000.0</v>
      </c>
      <c r="C3" s="8" t="s">
        <v>198</v>
      </c>
      <c r="D3" s="8" t="s">
        <v>11</v>
      </c>
    </row>
    <row r="4" ht="15.75" customHeight="1">
      <c r="A4" s="8">
        <v>2005.0</v>
      </c>
      <c r="B4" s="8">
        <v>15000.0</v>
      </c>
      <c r="C4" s="8" t="s">
        <v>199</v>
      </c>
      <c r="D4" s="8" t="s">
        <v>20</v>
      </c>
    </row>
    <row r="5" ht="15.75" customHeight="1">
      <c r="A5" s="8">
        <v>2005.0</v>
      </c>
      <c r="B5" s="8"/>
      <c r="C5" s="8" t="s">
        <v>199</v>
      </c>
      <c r="D5" s="8" t="s">
        <v>20</v>
      </c>
    </row>
    <row r="6" ht="15.75" customHeight="1">
      <c r="A6" s="8">
        <v>2006.0</v>
      </c>
      <c r="B6" s="8">
        <v>11000.0</v>
      </c>
      <c r="C6" s="8" t="s">
        <v>199</v>
      </c>
      <c r="D6" s="8" t="s">
        <v>20</v>
      </c>
    </row>
    <row r="7" ht="15.75" customHeight="1">
      <c r="A7" s="10">
        <v>2007.0</v>
      </c>
      <c r="B7" s="10">
        <v>16000.0</v>
      </c>
      <c r="C7" s="8" t="s">
        <v>199</v>
      </c>
      <c r="D7" s="8" t="s">
        <v>20</v>
      </c>
    </row>
    <row r="8" ht="15.75" customHeight="1">
      <c r="A8" s="10">
        <v>2007.0</v>
      </c>
      <c r="B8" s="10">
        <v>50000.0</v>
      </c>
      <c r="C8" s="8" t="s">
        <v>41</v>
      </c>
      <c r="D8" s="8" t="s">
        <v>11</v>
      </c>
    </row>
    <row r="9" ht="15.75" customHeight="1">
      <c r="A9" s="10">
        <v>2007.0</v>
      </c>
      <c r="B9" s="10">
        <v>60000.0</v>
      </c>
      <c r="C9" s="8" t="s">
        <v>200</v>
      </c>
      <c r="D9" s="8" t="s">
        <v>21</v>
      </c>
    </row>
    <row r="10" ht="15.75" customHeight="1">
      <c r="A10" s="10">
        <v>2008.0</v>
      </c>
      <c r="B10" s="10">
        <v>20000.0</v>
      </c>
      <c r="C10" s="8" t="s">
        <v>199</v>
      </c>
      <c r="D10" s="8" t="s">
        <v>20</v>
      </c>
    </row>
    <row r="11" ht="15.75" customHeight="1">
      <c r="A11" s="8">
        <v>2009.0</v>
      </c>
      <c r="B11" s="8">
        <v>35000.0</v>
      </c>
      <c r="C11" s="8" t="s">
        <v>199</v>
      </c>
      <c r="D11" s="8" t="s">
        <v>20</v>
      </c>
    </row>
    <row r="12" ht="15.75" customHeight="1">
      <c r="A12" s="8">
        <v>2010.0</v>
      </c>
      <c r="B12" s="8">
        <v>29000.0</v>
      </c>
      <c r="C12" s="8" t="s">
        <v>199</v>
      </c>
      <c r="D12" s="8" t="s">
        <v>20</v>
      </c>
    </row>
    <row r="13" ht="15.75" customHeight="1">
      <c r="A13" s="8">
        <v>2011.0</v>
      </c>
      <c r="B13" s="8">
        <v>30000.0</v>
      </c>
      <c r="C13" s="8" t="s">
        <v>201</v>
      </c>
      <c r="D13" s="8" t="s">
        <v>20</v>
      </c>
    </row>
    <row r="14" ht="15.75" customHeight="1">
      <c r="A14" s="10">
        <v>2011.0</v>
      </c>
      <c r="B14" s="10">
        <v>24000.0</v>
      </c>
      <c r="C14" s="10" t="s">
        <v>202</v>
      </c>
      <c r="D14" s="10" t="s">
        <v>20</v>
      </c>
    </row>
    <row r="15" ht="15.75" customHeight="1">
      <c r="A15" s="10">
        <v>2012.0</v>
      </c>
      <c r="B15" s="10">
        <v>29000.0</v>
      </c>
      <c r="C15" s="10" t="s">
        <v>203</v>
      </c>
      <c r="D15" s="10" t="s">
        <v>20</v>
      </c>
    </row>
    <row r="16" ht="15.75" customHeight="1">
      <c r="A16" s="10">
        <v>2012.0</v>
      </c>
      <c r="B16" s="10">
        <v>30000.0</v>
      </c>
      <c r="C16" s="10" t="s">
        <v>59</v>
      </c>
      <c r="D16" s="10" t="s">
        <v>11</v>
      </c>
    </row>
    <row r="17" ht="15.75" customHeight="1">
      <c r="A17" s="10">
        <v>2012.0</v>
      </c>
      <c r="B17" s="10">
        <v>35000.0</v>
      </c>
      <c r="C17" s="10" t="s">
        <v>204</v>
      </c>
      <c r="D17" s="10" t="s">
        <v>11</v>
      </c>
    </row>
    <row r="18" ht="15.75" customHeight="1">
      <c r="A18" s="10">
        <v>2013.0</v>
      </c>
      <c r="B18" s="10">
        <v>40000.0</v>
      </c>
      <c r="C18" s="10" t="s">
        <v>116</v>
      </c>
      <c r="D18" s="10" t="s">
        <v>11</v>
      </c>
    </row>
    <row r="19" ht="15.75" customHeight="1">
      <c r="A19" s="10">
        <v>2014.0</v>
      </c>
      <c r="B19" s="10">
        <v>40000.0</v>
      </c>
      <c r="C19" s="10" t="s">
        <v>200</v>
      </c>
      <c r="D19" s="10" t="s">
        <v>11</v>
      </c>
    </row>
    <row r="20" ht="15.75" customHeight="1">
      <c r="A20" s="10">
        <v>2015.0</v>
      </c>
      <c r="B20" s="8">
        <v>45000.0</v>
      </c>
      <c r="C20" s="8" t="s">
        <v>205</v>
      </c>
      <c r="D20" s="8" t="s">
        <v>21</v>
      </c>
    </row>
    <row r="21" ht="15.75" customHeight="1">
      <c r="A21" s="10">
        <v>2016.0</v>
      </c>
      <c r="B21" s="10">
        <v>30000.0</v>
      </c>
      <c r="C21" s="10" t="s">
        <v>206</v>
      </c>
      <c r="D21" s="10" t="s">
        <v>11</v>
      </c>
    </row>
    <row r="22" ht="15.75" customHeight="1">
      <c r="A22" s="8">
        <v>2017.0</v>
      </c>
      <c r="B22" s="8">
        <v>45000.0</v>
      </c>
      <c r="C22" s="8" t="s">
        <v>59</v>
      </c>
      <c r="D22" s="8" t="s">
        <v>11</v>
      </c>
    </row>
    <row r="23" ht="15.75" customHeight="1">
      <c r="A23" s="8">
        <v>2018.0</v>
      </c>
      <c r="B23" s="8">
        <v>52000.0</v>
      </c>
      <c r="C23" s="8" t="s">
        <v>207</v>
      </c>
      <c r="D23" s="8" t="s">
        <v>11</v>
      </c>
    </row>
    <row r="24" ht="15.75" customHeight="1">
      <c r="A24" s="19">
        <v>2019.0</v>
      </c>
      <c r="B24" s="19">
        <v>45000.0</v>
      </c>
      <c r="C24" s="19" t="s">
        <v>208</v>
      </c>
      <c r="D24" s="19" t="s">
        <v>11</v>
      </c>
    </row>
    <row r="25" ht="15.75" customHeight="1">
      <c r="A25" s="1" t="s">
        <v>209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</sheetData>
  <mergeCells count="1">
    <mergeCell ref="E1:M1"/>
  </mergeCells>
  <conditionalFormatting sqref="A2:D24">
    <cfRule type="expression" dxfId="0" priority="1">
      <formula>$D2="policja"</formula>
    </cfRule>
  </conditionalFormatting>
  <conditionalFormatting sqref="A2:D24">
    <cfRule type="expression" dxfId="1" priority="2">
      <formula>$D2="prasa"</formula>
    </cfRule>
  </conditionalFormatting>
  <conditionalFormatting sqref="A2:D24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</row>
    <row r="2">
      <c r="A2" s="11">
        <v>2003.0</v>
      </c>
      <c r="B2" s="17">
        <f>IFERROR(AVERAGEIFS(Dane_MyFest!$B$2:$B$24,Dane_MyFest!$A$2:$A$24,$A2,Dane_MyFest!$D$2:$D$24,"prasa"),"")</f>
        <v>20000</v>
      </c>
      <c r="C2" s="17" t="str">
        <f>IFERROR(AVERAGEIFS(Dane_MyFest!$B$2:$B$24,Dane_MyFest!$A$2:$A$24,$A2,Dane_MyFest!$D$2:$D$24,"organizatorzy"),"")</f>
        <v/>
      </c>
      <c r="D2" s="17" t="str">
        <f>IFERROR(AVERAGEIFS(Dane_MyFest!$B$2:$B$24,Dane_MyFest!$A$2:$A$24,$A2,Dane_MyFest!$D$2:$D$24,"policja"),"")</f>
        <v/>
      </c>
      <c r="E2" s="20">
        <f t="shared" ref="E2:E18" si="1">IFERROR((0.5*IF(B2&lt;&gt;"",B2,0) + 0.25*IF(C2&lt;&gt;"",C2,0) + 0.25*IF(D2&lt;&gt;"",D2,0))/(0.5*IF(B2&lt;&gt;"",1,0) + 0.25*IF(C2&lt;&gt;"",1,0) + 0.25*IF(D2&lt;&gt;"",1,0)),"")</f>
        <v>20000</v>
      </c>
      <c r="F2" s="20">
        <f>IFERROR(AVERAGEIFS(Dane_MyFest!$B$2:$B$23,Dane_MyFest!$A$2:$A$23,$A2),"")</f>
        <v>20000</v>
      </c>
      <c r="G2" s="21">
        <f t="shared" ref="G2:G18" si="2">E2-F2</f>
        <v>0</v>
      </c>
    </row>
    <row r="3">
      <c r="A3" s="11">
        <v>2004.0</v>
      </c>
      <c r="B3" s="17">
        <f>IFERROR(AVERAGEIFS(Dane_MyFest!$B$2:$B$24,Dane_MyFest!$A$2:$A$24,$A3,Dane_MyFest!$D$2:$D$24,"prasa"),"")</f>
        <v>30000</v>
      </c>
      <c r="C3" s="17">
        <f>IFERROR(AVERAGEIFS(Dane_MyFest!$B$2:$B$24,Dane_MyFest!$A$2:$A$24,$A3,Dane_MyFest!$D$2:$D$24,"prasa"),"")</f>
        <v>30000</v>
      </c>
      <c r="D3" s="17" t="str">
        <f>IFERROR(AVERAGEIFS(Dane_MyFest!$B$2:$B$24,Dane_MyFest!$A$2:$A$24,$A3,Dane_MyFest!$D$2:$D$24,"policja"),"")</f>
        <v/>
      </c>
      <c r="E3" s="20">
        <f t="shared" si="1"/>
        <v>30000</v>
      </c>
      <c r="F3" s="20">
        <f>IFERROR(AVERAGEIFS(Dane_MyFest!$B$2:$B$23,Dane_MyFest!$A$2:$A$23,$A3),"")</f>
        <v>30000</v>
      </c>
      <c r="G3" s="21">
        <f t="shared" si="2"/>
        <v>0</v>
      </c>
    </row>
    <row r="4">
      <c r="A4" s="11">
        <v>2005.0</v>
      </c>
      <c r="B4" s="17" t="str">
        <f>IFERROR(AVERAGEIFS(Dane_MyFest!$B$2:$B$24,Dane_MyFest!$A$2:$A$24,$A4,Dane_MyFest!$D$2:$D$24,"prasa"),"")</f>
        <v/>
      </c>
      <c r="C4" s="17" t="str">
        <f>IFERROR(AVERAGEIFS(Dane_MyFest!$B$2:$B$24,Dane_MyFest!$A$2:$A$24,$A4,Dane_MyFest!$D$2:$D$24,"prasa"),"")</f>
        <v/>
      </c>
      <c r="D4" s="17">
        <f>IFERROR(AVERAGEIFS(Dane_MyFest!$B$2:$B$24,Dane_MyFest!$A$2:$A$24,$A4,Dane_MyFest!$D$2:$D$24,"policja"),"")</f>
        <v>15000</v>
      </c>
      <c r="E4" s="20">
        <f t="shared" si="1"/>
        <v>15000</v>
      </c>
      <c r="F4" s="20">
        <f>IFERROR(AVERAGEIFS(Dane_MyFest!$B$2:$B$23,Dane_MyFest!$A$2:$A$23,$A4),"")</f>
        <v>15000</v>
      </c>
      <c r="G4" s="21">
        <f t="shared" si="2"/>
        <v>0</v>
      </c>
    </row>
    <row r="5">
      <c r="A5" s="11">
        <v>2006.0</v>
      </c>
      <c r="B5" s="17" t="str">
        <f>IFERROR(AVERAGEIFS(Dane_MyFest!$B$2:$B$24,Dane_MyFest!$A$2:$A$24,$A5,Dane_MyFest!$D$2:$D$24,"prasa"),"")</f>
        <v/>
      </c>
      <c r="C5" s="17" t="str">
        <f>IFERROR(AVERAGEIFS(Dane_MyFest!$B$2:$B$24,Dane_MyFest!$A$2:$A$24,$A5,Dane_MyFest!$D$2:$D$24,"prasa"),"")</f>
        <v/>
      </c>
      <c r="D5" s="17">
        <f>IFERROR(AVERAGEIFS(Dane_MyFest!$B$2:$B$24,Dane_MyFest!$A$2:$A$24,$A5,Dane_MyFest!$D$2:$D$24,"policja"),"")</f>
        <v>11000</v>
      </c>
      <c r="E5" s="20">
        <f t="shared" si="1"/>
        <v>11000</v>
      </c>
      <c r="F5" s="20">
        <f>IFERROR(AVERAGEIFS(Dane_MyFest!$B$2:$B$23,Dane_MyFest!$A$2:$A$23,$A5),"")</f>
        <v>11000</v>
      </c>
      <c r="G5" s="21">
        <f t="shared" si="2"/>
        <v>0</v>
      </c>
    </row>
    <row r="6">
      <c r="A6" s="11">
        <v>2007.0</v>
      </c>
      <c r="B6" s="17">
        <f>IFERROR(AVERAGEIFS(Dane_MyFest!$B$2:$B$24,Dane_MyFest!$A$2:$A$24,$A6,Dane_MyFest!$D$2:$D$24,"prasa"),"")</f>
        <v>50000</v>
      </c>
      <c r="C6" s="17">
        <f>IFERROR(AVERAGEIFS(Dane_MyFest!$B$2:$B$24,Dane_MyFest!$A$2:$A$24,$A6,Dane_MyFest!$D$2:$D$24,"prasa"),"")</f>
        <v>50000</v>
      </c>
      <c r="D6" s="17">
        <f>IFERROR(AVERAGEIFS(Dane_MyFest!$B$2:$B$24,Dane_MyFest!$A$2:$A$24,$A6,Dane_MyFest!$D$2:$D$24,"policja"),"")</f>
        <v>16000</v>
      </c>
      <c r="E6" s="20">
        <f t="shared" si="1"/>
        <v>41500</v>
      </c>
      <c r="F6" s="20">
        <f>IFERROR(AVERAGEIFS(Dane_MyFest!$B$2:$B$23,Dane_MyFest!$A$2:$A$23,$A6),"")</f>
        <v>42000</v>
      </c>
      <c r="G6" s="21">
        <f t="shared" si="2"/>
        <v>-500</v>
      </c>
    </row>
    <row r="7">
      <c r="A7" s="11">
        <v>2008.0</v>
      </c>
      <c r="B7" s="17" t="str">
        <f>IFERROR(AVERAGEIFS(Dane_MyFest!$B$2:$B$24,Dane_MyFest!$A$2:$A$24,$A7,Dane_MyFest!$D$2:$D$24,"prasa"),"")</f>
        <v/>
      </c>
      <c r="C7" s="17" t="str">
        <f>IFERROR(AVERAGEIFS(Dane_MyFest!$B$2:$B$24,Dane_MyFest!$A$2:$A$24,$A7,Dane_MyFest!$D$2:$D$24,"prasa"),"")</f>
        <v/>
      </c>
      <c r="D7" s="17">
        <f>IFERROR(AVERAGEIFS(Dane_MyFest!$B$2:$B$24,Dane_MyFest!$A$2:$A$24,$A7,Dane_MyFest!$D$2:$D$24,"policja"),"")</f>
        <v>20000</v>
      </c>
      <c r="E7" s="20">
        <f t="shared" si="1"/>
        <v>20000</v>
      </c>
      <c r="F7" s="20">
        <f>IFERROR(AVERAGEIFS(Dane_MyFest!$B$2:$B$23,Dane_MyFest!$A$2:$A$23,$A7),"")</f>
        <v>20000</v>
      </c>
      <c r="G7" s="21">
        <f t="shared" si="2"/>
        <v>0</v>
      </c>
    </row>
    <row r="8" ht="15.75" customHeight="1">
      <c r="A8" s="11">
        <v>2009.0</v>
      </c>
      <c r="B8" s="17" t="str">
        <f>IFERROR(AVERAGEIFS(Dane_MyFest!$B$2:$B$24,Dane_MyFest!$A$2:$A$24,$A8,Dane_MyFest!$D$2:$D$24,"prasa"),"")</f>
        <v/>
      </c>
      <c r="C8" s="17" t="str">
        <f>IFERROR(AVERAGEIFS(Dane_MyFest!$B$2:$B$24,Dane_MyFest!$A$2:$A$24,$A8,Dane_MyFest!$D$2:$D$24,"prasa"),"")</f>
        <v/>
      </c>
      <c r="D8" s="17">
        <f>IFERROR(AVERAGEIFS(Dane_MyFest!$B$2:$B$24,Dane_MyFest!$A$2:$A$24,$A8,Dane_MyFest!$D$2:$D$24,"policja"),"")</f>
        <v>35000</v>
      </c>
      <c r="E8" s="20">
        <f t="shared" si="1"/>
        <v>35000</v>
      </c>
      <c r="F8" s="20">
        <f>IFERROR(AVERAGEIFS(Dane_MyFest!$B$2:$B$23,Dane_MyFest!$A$2:$A$23,$A8),"")</f>
        <v>35000</v>
      </c>
      <c r="G8" s="21">
        <f t="shared" si="2"/>
        <v>0</v>
      </c>
    </row>
    <row r="9" ht="15.75" customHeight="1">
      <c r="A9" s="11">
        <v>2010.0</v>
      </c>
      <c r="B9" s="17" t="str">
        <f>IFERROR(AVERAGEIFS(Dane_MyFest!$B$2:$B$24,Dane_MyFest!$A$2:$A$24,$A9,Dane_MyFest!$D$2:$D$24,"prasa"),"")</f>
        <v/>
      </c>
      <c r="C9" s="17" t="str">
        <f>IFERROR(AVERAGEIFS(Dane_MyFest!$B$2:$B$24,Dane_MyFest!$A$2:$A$24,$A9,Dane_MyFest!$D$2:$D$24,"prasa"),"")</f>
        <v/>
      </c>
      <c r="D9" s="17">
        <f>IFERROR(AVERAGEIFS(Dane_MyFest!$B$2:$B$24,Dane_MyFest!$A$2:$A$24,$A9,Dane_MyFest!$D$2:$D$24,"policja"),"")</f>
        <v>29000</v>
      </c>
      <c r="E9" s="20">
        <f t="shared" si="1"/>
        <v>29000</v>
      </c>
      <c r="F9" s="20">
        <f>IFERROR(AVERAGEIFS(Dane_MyFest!$B$2:$B$23,Dane_MyFest!$A$2:$A$23,$A9),"")</f>
        <v>29000</v>
      </c>
      <c r="G9" s="21">
        <f t="shared" si="2"/>
        <v>0</v>
      </c>
    </row>
    <row r="10" ht="15.75" customHeight="1">
      <c r="A10" s="11">
        <v>2011.0</v>
      </c>
      <c r="B10" s="17" t="str">
        <f>IFERROR(AVERAGEIFS(Dane_MyFest!$B$2:$B$24,Dane_MyFest!$A$2:$A$24,$A10,Dane_MyFest!$D$2:$D$24,"prasa"),"")</f>
        <v/>
      </c>
      <c r="C10" s="17" t="str">
        <f>IFERROR(AVERAGEIFS(Dane_MyFest!$B$2:$B$24,Dane_MyFest!$A$2:$A$24,$A10,Dane_MyFest!$D$2:$D$24,"prasa"),"")</f>
        <v/>
      </c>
      <c r="D10" s="17">
        <f>IFERROR(AVERAGEIFS(Dane_MyFest!$B$2:$B$24,Dane_MyFest!$A$2:$A$24,$A10,Dane_MyFest!$D$2:$D$24,"policja"),"")</f>
        <v>27000</v>
      </c>
      <c r="E10" s="20">
        <f t="shared" si="1"/>
        <v>27000</v>
      </c>
      <c r="F10" s="20">
        <f>IFERROR(AVERAGEIFS(Dane_MyFest!$B$2:$B$23,Dane_MyFest!$A$2:$A$23,$A10),"")</f>
        <v>27000</v>
      </c>
      <c r="G10" s="21">
        <f t="shared" si="2"/>
        <v>0</v>
      </c>
    </row>
    <row r="11" ht="15.75" customHeight="1">
      <c r="A11" s="11">
        <v>2012.0</v>
      </c>
      <c r="B11" s="17">
        <f>IFERROR(AVERAGEIFS(Dane_MyFest!$B$2:$B$24,Dane_MyFest!$A$2:$A$24,$A11,Dane_MyFest!$D$2:$D$24,"prasa"),"")</f>
        <v>32500</v>
      </c>
      <c r="C11" s="17">
        <f>IFERROR(AVERAGEIFS(Dane_MyFest!$B$2:$B$24,Dane_MyFest!$A$2:$A$24,$A11,Dane_MyFest!$D$2:$D$24,"prasa"),"")</f>
        <v>32500</v>
      </c>
      <c r="D11" s="17">
        <f>IFERROR(AVERAGEIFS(Dane_MyFest!$B$2:$B$24,Dane_MyFest!$A$2:$A$24,$A11,Dane_MyFest!$D$2:$D$24,"policja"),"")</f>
        <v>29000</v>
      </c>
      <c r="E11" s="20">
        <f t="shared" si="1"/>
        <v>31625</v>
      </c>
      <c r="F11" s="20">
        <f>IFERROR(AVERAGEIFS(Dane_MyFest!$B$2:$B$23,Dane_MyFest!$A$2:$A$23,$A11),"")</f>
        <v>31333.33333</v>
      </c>
      <c r="G11" s="21">
        <f t="shared" si="2"/>
        <v>291.6666667</v>
      </c>
    </row>
    <row r="12" ht="15.75" customHeight="1">
      <c r="A12" s="11">
        <v>2013.0</v>
      </c>
      <c r="B12" s="17">
        <f>IFERROR(AVERAGEIFS(Dane_MyFest!$B$2:$B$24,Dane_MyFest!$A$2:$A$24,$A12,Dane_MyFest!$D$2:$D$24,"prasa"),"")</f>
        <v>40000</v>
      </c>
      <c r="C12" s="17">
        <f>IFERROR(AVERAGEIFS(Dane_MyFest!$B$2:$B$24,Dane_MyFest!$A$2:$A$24,$A12,Dane_MyFest!$D$2:$D$24,"prasa"),"")</f>
        <v>40000</v>
      </c>
      <c r="D12" s="17" t="str">
        <f>IFERROR(AVERAGEIFS(Dane_MyFest!$B$2:$B$24,Dane_MyFest!$A$2:$A$24,$A12,Dane_MyFest!$D$2:$D$24,"policja"),"")</f>
        <v/>
      </c>
      <c r="E12" s="20">
        <f t="shared" si="1"/>
        <v>40000</v>
      </c>
      <c r="F12" s="20">
        <f>IFERROR(AVERAGEIFS(Dane_MyFest!$B$2:$B$23,Dane_MyFest!$A$2:$A$23,$A12),"")</f>
        <v>40000</v>
      </c>
      <c r="G12" s="21">
        <f t="shared" si="2"/>
        <v>0</v>
      </c>
    </row>
    <row r="13" ht="15.75" customHeight="1">
      <c r="A13" s="11">
        <v>2014.0</v>
      </c>
      <c r="B13" s="17">
        <f>IFERROR(AVERAGEIFS(Dane_MyFest!$B$2:$B$24,Dane_MyFest!$A$2:$A$24,$A13,Dane_MyFest!$D$2:$D$24,"prasa"),"")</f>
        <v>40000</v>
      </c>
      <c r="C13" s="17">
        <f>IFERROR(AVERAGEIFS(Dane_MyFest!$B$2:$B$24,Dane_MyFest!$A$2:$A$24,$A13,Dane_MyFest!$D$2:$D$24,"prasa"),"")</f>
        <v>40000</v>
      </c>
      <c r="D13" s="17" t="str">
        <f>IFERROR(AVERAGEIFS(Dane_MyFest!$B$2:$B$24,Dane_MyFest!$A$2:$A$24,$A13,Dane_MyFest!$D$2:$D$24,"policja"),"")</f>
        <v/>
      </c>
      <c r="E13" s="20">
        <f t="shared" si="1"/>
        <v>40000</v>
      </c>
      <c r="F13" s="20">
        <f>IFERROR(AVERAGEIFS(Dane_MyFest!$B$2:$B$23,Dane_MyFest!$A$2:$A$23,$A13),"")</f>
        <v>40000</v>
      </c>
      <c r="G13" s="21">
        <f t="shared" si="2"/>
        <v>0</v>
      </c>
    </row>
    <row r="14" ht="15.75" customHeight="1">
      <c r="A14" s="11">
        <v>2015.0</v>
      </c>
      <c r="B14" s="17" t="str">
        <f>IFERROR(AVERAGEIFS(Dane_MyFest!$B$2:$B$24,Dane_MyFest!$A$2:$A$24,$A14,Dane_MyFest!$D$2:$D$24,"prasa"),"")</f>
        <v/>
      </c>
      <c r="C14" s="17" t="str">
        <f>IFERROR(AVERAGEIFS(Dane_MyFest!$B$2:$B$24,Dane_MyFest!$A$2:$A$24,$A14,Dane_MyFest!$D$2:$D$24,"prasa"),"")</f>
        <v/>
      </c>
      <c r="D14" s="17" t="str">
        <f>IFERROR(AVERAGEIFS(Dane_MyFest!$B$2:$B$24,Dane_MyFest!$A$2:$A$24,$A14,Dane_MyFest!$D$2:$D$24,"policja"),"")</f>
        <v/>
      </c>
      <c r="E14" s="20" t="str">
        <f t="shared" si="1"/>
        <v/>
      </c>
      <c r="F14" s="20">
        <f>IFERROR(AVERAGEIFS(Dane_MyFest!$B$2:$B$23,Dane_MyFest!$A$2:$A$23,$A14),"")</f>
        <v>45000</v>
      </c>
      <c r="G14" s="21">
        <f t="shared" si="2"/>
        <v>-45000</v>
      </c>
    </row>
    <row r="15" ht="15.75" customHeight="1">
      <c r="A15" s="11">
        <v>2016.0</v>
      </c>
      <c r="B15" s="17">
        <f>IFERROR(AVERAGEIFS(Dane_MyFest!$B$2:$B$24,Dane_MyFest!$A$2:$A$24,$A15,Dane_MyFest!$D$2:$D$24,"prasa"),"")</f>
        <v>30000</v>
      </c>
      <c r="C15" s="17">
        <f>IFERROR(AVERAGEIFS(Dane_MyFest!$B$2:$B$24,Dane_MyFest!$A$2:$A$24,$A15,Dane_MyFest!$D$2:$D$24,"prasa"),"")</f>
        <v>30000</v>
      </c>
      <c r="D15" s="17" t="str">
        <f>IFERROR(AVERAGEIFS(Dane_MyFest!$B$2:$B$24,Dane_MyFest!$A$2:$A$24,$A15,Dane_MyFest!$D$2:$D$24,"policja"),"")</f>
        <v/>
      </c>
      <c r="E15" s="20">
        <f t="shared" si="1"/>
        <v>30000</v>
      </c>
      <c r="F15" s="20">
        <f>IFERROR(AVERAGEIFS(Dane_MyFest!$B$2:$B$23,Dane_MyFest!$A$2:$A$23,$A15),"")</f>
        <v>30000</v>
      </c>
      <c r="G15" s="21">
        <f t="shared" si="2"/>
        <v>0</v>
      </c>
    </row>
    <row r="16" ht="15.75" customHeight="1">
      <c r="A16" s="11">
        <v>2017.0</v>
      </c>
      <c r="B16" s="17">
        <f>IFERROR(AVERAGEIFS(Dane_MyFest!$B$2:$B$24,Dane_MyFest!$A$2:$A$24,$A16,Dane_MyFest!$D$2:$D$24,"prasa"),"")</f>
        <v>45000</v>
      </c>
      <c r="C16" s="17">
        <f>IFERROR(AVERAGEIFS(Dane_MyFest!$B$2:$B$24,Dane_MyFest!$A$2:$A$24,$A16,Dane_MyFest!$D$2:$D$24,"prasa"),"")</f>
        <v>45000</v>
      </c>
      <c r="D16" s="17" t="str">
        <f>IFERROR(AVERAGEIFS(Dane_MyFest!$B$2:$B$24,Dane_MyFest!$A$2:$A$24,$A16,Dane_MyFest!$D$2:$D$24,"policja"),"")</f>
        <v/>
      </c>
      <c r="E16" s="20">
        <f t="shared" si="1"/>
        <v>45000</v>
      </c>
      <c r="F16" s="20">
        <f>IFERROR(AVERAGEIFS(Dane_MyFest!$B$2:$B$23,Dane_MyFest!$A$2:$A$23,$A16),"")</f>
        <v>45000</v>
      </c>
      <c r="G16" s="21">
        <f t="shared" si="2"/>
        <v>0</v>
      </c>
    </row>
    <row r="17" ht="15.75" customHeight="1">
      <c r="A17" s="11">
        <v>2018.0</v>
      </c>
      <c r="B17" s="17">
        <f>IFERROR(AVERAGEIFS(Dane_MyFest!$B$2:$B$24,Dane_MyFest!$A$2:$A$24,$A17,Dane_MyFest!$D$2:$D$24,"prasa"),"")</f>
        <v>52000</v>
      </c>
      <c r="C17" s="17" t="str">
        <f>IFERROR(AVERAGEIFS(Dane_MyFest!$B$2:$B$24,Dane_MyFest!$A$2:$A$24,$A17,Dane_MyFest!$D$2:$D$24,"organizatorzy"),"")</f>
        <v/>
      </c>
      <c r="D17" s="17" t="str">
        <f>IFERROR(AVERAGEIFS(Dane_MyFest!$B$2:$B$24,Dane_MyFest!$A$2:$A$24,$A17,Dane_MyFest!$D$2:$D$24,"policja"),"")</f>
        <v/>
      </c>
      <c r="E17" s="20">
        <f t="shared" si="1"/>
        <v>52000</v>
      </c>
      <c r="F17" s="20">
        <f>IFERROR(AVERAGEIFS(Dane_MyFest!$B$2:$B$24,Dane_MyFest!$A$2:$A$24,$A17),"")</f>
        <v>52000</v>
      </c>
      <c r="G17" s="21">
        <f t="shared" si="2"/>
        <v>0</v>
      </c>
    </row>
    <row r="18" ht="15.75" customHeight="1">
      <c r="A18" s="11">
        <v>2019.0</v>
      </c>
      <c r="B18" s="17">
        <f>IFERROR(AVERAGEIFS(Dane_MyFest!$B$2:$B$24,Dane_MyFest!$A$2:$A$24,$A18,Dane_MyFest!$D$2:$D$24,"prasa"),"")</f>
        <v>45000</v>
      </c>
      <c r="C18" s="17" t="str">
        <f>IFERROR(AVERAGEIFS(Dane_MyFest!$B$2:$B$24,Dane_MyFest!$A$2:$A$24,$A18,Dane_MyFest!$D$2:$D$24,"organizatorzy"),"")</f>
        <v/>
      </c>
      <c r="D18" s="17" t="str">
        <f>IFERROR(AVERAGEIFS(Dane_MyFest!$B$2:$B$24,Dane_MyFest!$A$2:$A$24,$A18,Dane_MyFest!$D$2:$D$24,"policja"),"")</f>
        <v/>
      </c>
      <c r="E18" s="20">
        <f t="shared" si="1"/>
        <v>45000</v>
      </c>
      <c r="F18" s="20">
        <f>IFERROR(AVERAGEIFS(Dane_MyFest!$B$2:$B$24,Dane_MyFest!$A$2:$A$24,$A18),"")</f>
        <v>45000</v>
      </c>
      <c r="G18" s="21">
        <f t="shared" si="2"/>
        <v>0</v>
      </c>
    </row>
    <row r="19" ht="15.75" customHeight="1">
      <c r="B19" s="17"/>
      <c r="C19" s="17"/>
      <c r="D19" s="17"/>
      <c r="E19" s="23" t="str">
        <f>IFERROR(
  (0.5*IF(B19&lt;&gt;"",B19,0) + 0.25*IF(C19&lt;&gt;"",C19,0) + 0.25*IF(D19&lt;&gt;"",D19,0))
  /
  (0.5*IF(B19&lt;&gt;"",1,0) + 0.25*IF(C19&lt;&gt;"",1,0) + 0.25*IF(D19&lt;&gt;"",1,0))
,"")</f>
        <v/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D27" s="23" t="str">
        <f>IFERROR(__xludf.DUMMYFUNCTION("ARRAYFORMULA(JOIN("", "", IF(F2:F18="""", ""null"", F2:F18)))"),"20000, 30000, 15000, 11000, 42000, 20000, 35000, 29000, 27000, 31333,33333, 40000, 40000, 45000, 30000, 45000, 52000, 45000")</f>
        <v>20000, 30000, 15000, 11000, 42000, 20000, 35000, 29000, 27000, 31333,33333, 40000, 40000, 45000, 30000, 45000, 52000, 45000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4" t="s">
        <v>210</v>
      </c>
    </row>
    <row r="2" ht="15.75" customHeight="1">
      <c r="A2" s="8">
        <v>1997.0</v>
      </c>
      <c r="B2" s="8"/>
      <c r="C2" s="8"/>
      <c r="D2" s="8"/>
    </row>
    <row r="3" ht="15.75" customHeight="1">
      <c r="A3" s="13">
        <v>1998.0</v>
      </c>
      <c r="B3" s="13">
        <v>1500.0</v>
      </c>
      <c r="C3" s="8" t="s">
        <v>31</v>
      </c>
      <c r="D3" s="8" t="s">
        <v>11</v>
      </c>
    </row>
    <row r="4" ht="15.75" customHeight="1">
      <c r="A4" s="8">
        <v>1999.0</v>
      </c>
      <c r="B4" s="8"/>
      <c r="C4" s="8"/>
      <c r="D4" s="8"/>
    </row>
    <row r="5" ht="15.75" customHeight="1">
      <c r="A5" s="8">
        <v>2000.0</v>
      </c>
      <c r="B5" s="8">
        <v>5000.0</v>
      </c>
      <c r="C5" s="8" t="s">
        <v>31</v>
      </c>
      <c r="D5" s="8" t="s">
        <v>11</v>
      </c>
    </row>
    <row r="6" ht="15.75" customHeight="1">
      <c r="A6" s="13">
        <v>2001.0</v>
      </c>
      <c r="B6" s="8">
        <v>5000.0</v>
      </c>
      <c r="C6" s="8" t="s">
        <v>31</v>
      </c>
      <c r="D6" s="8" t="s">
        <v>11</v>
      </c>
    </row>
    <row r="7" ht="15.75" customHeight="1">
      <c r="A7" s="8">
        <v>2002.0</v>
      </c>
      <c r="B7" s="10"/>
      <c r="C7" s="8"/>
      <c r="D7" s="8"/>
    </row>
    <row r="8" ht="15.75" customHeight="1">
      <c r="A8" s="8">
        <v>2003.0</v>
      </c>
      <c r="B8" s="10">
        <v>20000.0</v>
      </c>
      <c r="C8" s="8" t="s">
        <v>211</v>
      </c>
      <c r="D8" s="8" t="s">
        <v>11</v>
      </c>
    </row>
    <row r="9" ht="15.75" customHeight="1">
      <c r="A9" s="13">
        <v>2004.0</v>
      </c>
      <c r="B9" s="10"/>
      <c r="C9" s="8"/>
      <c r="D9" s="8"/>
    </row>
    <row r="10" ht="15.75" customHeight="1">
      <c r="A10" s="8">
        <v>2005.0</v>
      </c>
      <c r="B10" s="8"/>
      <c r="C10" s="8"/>
      <c r="D10" s="8"/>
    </row>
    <row r="11" ht="15.75" customHeight="1">
      <c r="A11" s="8">
        <v>2006.0</v>
      </c>
      <c r="B11" s="8"/>
      <c r="C11" s="8"/>
      <c r="D11" s="8"/>
    </row>
    <row r="12" ht="15.75" customHeight="1">
      <c r="A12" s="13">
        <v>2007.0</v>
      </c>
      <c r="B12" s="8"/>
      <c r="C12" s="8"/>
      <c r="D12" s="8"/>
    </row>
    <row r="13" ht="15.75" customHeight="1">
      <c r="A13" s="8">
        <v>2008.0</v>
      </c>
      <c r="B13" s="10"/>
      <c r="C13" s="10"/>
      <c r="D13" s="10"/>
    </row>
    <row r="14" ht="15.75" customHeight="1">
      <c r="A14" s="8">
        <v>2009.0</v>
      </c>
      <c r="B14" s="10"/>
      <c r="C14" s="10"/>
      <c r="D14" s="10"/>
    </row>
    <row r="15" ht="15.75" customHeight="1">
      <c r="A15" s="13">
        <v>2010.0</v>
      </c>
      <c r="B15" s="10"/>
      <c r="C15" s="10"/>
      <c r="D15" s="10"/>
    </row>
    <row r="16" ht="15.75" customHeight="1">
      <c r="A16" s="8">
        <v>2011.0</v>
      </c>
      <c r="B16" s="10"/>
      <c r="C16" s="10"/>
      <c r="D16" s="10"/>
    </row>
    <row r="17" ht="15.75" customHeight="1">
      <c r="A17" s="8">
        <v>2012.0</v>
      </c>
      <c r="B17" s="10"/>
      <c r="C17" s="10"/>
      <c r="D17" s="10"/>
    </row>
    <row r="18" ht="15.75" customHeight="1">
      <c r="A18" s="13">
        <v>2013.0</v>
      </c>
      <c r="B18" s="8"/>
      <c r="C18" s="8"/>
      <c r="D18" s="8"/>
    </row>
    <row r="19" ht="15.75" customHeight="1">
      <c r="A19" s="8">
        <v>2014.0</v>
      </c>
      <c r="B19" s="10"/>
      <c r="C19" s="10"/>
      <c r="D19" s="10"/>
    </row>
    <row r="20" ht="15.75" customHeight="1">
      <c r="A20" s="8">
        <v>2015.0</v>
      </c>
      <c r="B20" s="8"/>
      <c r="C20" s="8"/>
      <c r="D20" s="8"/>
    </row>
    <row r="21" ht="15.75" customHeight="1">
      <c r="A21" s="13">
        <v>2016.0</v>
      </c>
      <c r="B21" s="8"/>
      <c r="C21" s="8"/>
      <c r="D21" s="8"/>
    </row>
    <row r="22" ht="15.75" customHeight="1">
      <c r="A22" s="8">
        <v>2017.0</v>
      </c>
      <c r="B22" s="19"/>
      <c r="C22" s="19"/>
      <c r="D22" s="1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mergeCells count="1">
    <mergeCell ref="E1:M1"/>
  </mergeCells>
  <conditionalFormatting sqref="A2:D22">
    <cfRule type="expression" dxfId="0" priority="1">
      <formula>$D2="policja"</formula>
    </cfRule>
  </conditionalFormatting>
  <conditionalFormatting sqref="A2:D22">
    <cfRule type="expression" dxfId="1" priority="2">
      <formula>$D2="prasa"</formula>
    </cfRule>
  </conditionalFormatting>
  <conditionalFormatting sqref="A2:D22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</row>
    <row r="2">
      <c r="A2" s="26">
        <v>1997.0</v>
      </c>
      <c r="B2" s="17" t="str">
        <f>IFERROR(AVERAGEIFS(Dane_Mariannenplatz!$B$2:$B$23,Dane_Mariannenplatz!$A$2:$A$23,$A2,Dane_Mariannenplatz!$D$2:$D$23,"prasa"),"")</f>
        <v/>
      </c>
      <c r="C2" s="17" t="str">
        <f>IFERROR(AVERAGEIFS(Dane_Mariannenplatz!$B$2:$B$23,Dane_Mariannenplatz!$A$2:$A$23,$A2,Dane_Mariannenplatz!$D$2:$D$23,"organizatorzy"),"")</f>
        <v/>
      </c>
      <c r="D2" s="17" t="str">
        <f>IFERROR(AVERAGEIFS(Dane_Mariannenplatz!$B$2:$B$23,Dane_Mariannenplatz!$A$2:$A$23,$A2,Dane_Mariannenplatz!$D$2:$D$23,"policja"),"")</f>
        <v/>
      </c>
      <c r="E2" s="20" t="str">
        <f t="shared" ref="E2:E7" si="1">IFERROR((0.5*IF(B2&lt;&gt;"",B2,0) + 0.25*IF(C2&lt;&gt;"",C2,0) + 0.25*IF(D2&lt;&gt;"",D2,0))/(0.5*IF(B2&lt;&gt;"",1,0) + 0.25*IF(C2&lt;&gt;"",1,0) + 0.25*IF(D2&lt;&gt;"",1,0)),"")</f>
        <v/>
      </c>
      <c r="F2" s="20" t="str">
        <f>IFERROR(AVERAGEIFS(Dane_Mariannenplatz!$B$2:$B$22,Dane_Mariannenplatz!$A$2:$A$22,$A2),"")</f>
        <v/>
      </c>
      <c r="G2" s="21">
        <f t="shared" ref="G2:G7" si="2">E2-F2</f>
        <v>0</v>
      </c>
    </row>
    <row r="3">
      <c r="A3" s="26">
        <v>1998.0</v>
      </c>
      <c r="B3" s="17">
        <f>IFERROR(AVERAGEIFS(Dane_Mariannenplatz!$B$2:$B$23,Dane_Mariannenplatz!$A$2:$A$23,$A3,Dane_Mariannenplatz!$D$2:$D$23,"prasa"),"")</f>
        <v>1500</v>
      </c>
      <c r="C3" s="17" t="str">
        <f>IFERROR(AVERAGEIFS(Dane_Mariannenplatz!$B$2:$B$23,Dane_Mariannenplatz!$A$2:$A$23,$A3,Dane_Mariannenplatz!$D$2:$D$23,"organizatorzy"),"")</f>
        <v/>
      </c>
      <c r="D3" s="17" t="str">
        <f>IFERROR(AVERAGEIFS(Dane_Mariannenplatz!$B$2:$B$23,Dane_Mariannenplatz!$A$2:$A$23,$A3,Dane_Mariannenplatz!$D$2:$D$23,"policja"),"")</f>
        <v/>
      </c>
      <c r="E3" s="20">
        <f t="shared" si="1"/>
        <v>1500</v>
      </c>
      <c r="F3" s="20">
        <f>IFERROR(AVERAGEIFS(Dane_Mariannenplatz!$B$2:$B$22,Dane_Mariannenplatz!$A$2:$A$22,$A3),"")</f>
        <v>1500</v>
      </c>
      <c r="G3" s="21">
        <f t="shared" si="2"/>
        <v>0</v>
      </c>
    </row>
    <row r="4">
      <c r="A4" s="26">
        <v>1999.0</v>
      </c>
      <c r="B4" s="17" t="str">
        <f>IFERROR(AVERAGEIFS(Dane_Mariannenplatz!$B$2:$B$23,Dane_Mariannenplatz!$A$2:$A$23,$A4,Dane_Mariannenplatz!$D$2:$D$23,"prasa"),"")</f>
        <v/>
      </c>
      <c r="C4" s="17" t="str">
        <f>IFERROR(AVERAGEIFS(Dane_Mariannenplatz!$B$2:$B$23,Dane_Mariannenplatz!$A$2:$A$23,$A4,Dane_Mariannenplatz!$D$2:$D$23,"organizatorzy"),"")</f>
        <v/>
      </c>
      <c r="D4" s="17" t="str">
        <f>IFERROR(AVERAGEIFS(Dane_Mariannenplatz!$B$2:$B$23,Dane_Mariannenplatz!$A$2:$A$23,$A4,Dane_Mariannenplatz!$D$2:$D$23,"policja"),"")</f>
        <v/>
      </c>
      <c r="E4" s="20" t="str">
        <f t="shared" si="1"/>
        <v/>
      </c>
      <c r="F4" s="20" t="str">
        <f>IFERROR(AVERAGEIFS(Dane_Mariannenplatz!$B$2:$B$22,Dane_Mariannenplatz!$A$2:$A$22,$A4),"")</f>
        <v/>
      </c>
      <c r="G4" s="21">
        <f t="shared" si="2"/>
        <v>0</v>
      </c>
    </row>
    <row r="5">
      <c r="A5" s="26">
        <v>2000.0</v>
      </c>
      <c r="B5" s="17">
        <f>IFERROR(AVERAGEIFS(Dane_Mariannenplatz!$B$2:$B$23,Dane_Mariannenplatz!$A$2:$A$23,$A5,Dane_Mariannenplatz!$D$2:$D$23,"prasa"),"")</f>
        <v>5000</v>
      </c>
      <c r="C5" s="17" t="str">
        <f>IFERROR(AVERAGEIFS(Dane_Mariannenplatz!$B$2:$B$23,Dane_Mariannenplatz!$A$2:$A$23,$A5,Dane_Mariannenplatz!$D$2:$D$23,"organizatorzy"),"")</f>
        <v/>
      </c>
      <c r="D5" s="17" t="str">
        <f>IFERROR(AVERAGEIFS(Dane_Mariannenplatz!$B$2:$B$23,Dane_Mariannenplatz!$A$2:$A$23,$A5,Dane_Mariannenplatz!$D$2:$D$23,"policja"),"")</f>
        <v/>
      </c>
      <c r="E5" s="20">
        <f t="shared" si="1"/>
        <v>5000</v>
      </c>
      <c r="F5" s="20">
        <f>IFERROR(AVERAGEIFS(Dane_Mariannenplatz!$B$2:$B$22,Dane_Mariannenplatz!$A$2:$A$22,$A5),"")</f>
        <v>5000</v>
      </c>
      <c r="G5" s="21">
        <f t="shared" si="2"/>
        <v>0</v>
      </c>
    </row>
    <row r="6">
      <c r="A6" s="26">
        <v>2001.0</v>
      </c>
      <c r="B6" s="17">
        <f>IFERROR(AVERAGEIFS(Dane_Mariannenplatz!$B$2:$B$23,Dane_Mariannenplatz!$A$2:$A$23,$A6,Dane_Mariannenplatz!$D$2:$D$23,"prasa"),"")</f>
        <v>5000</v>
      </c>
      <c r="C6" s="17" t="str">
        <f>IFERROR(AVERAGEIFS(Dane_Mariannenplatz!$B$2:$B$23,Dane_Mariannenplatz!$A$2:$A$23,$A6,Dane_Mariannenplatz!$D$2:$D$23,"organizatorzy"),"")</f>
        <v/>
      </c>
      <c r="D6" s="17" t="str">
        <f>IFERROR(AVERAGEIFS(Dane_Mariannenplatz!$B$2:$B$23,Dane_Mariannenplatz!$A$2:$A$23,$A6,Dane_Mariannenplatz!$D$2:$D$23,"policja"),"")</f>
        <v/>
      </c>
      <c r="E6" s="20">
        <f t="shared" si="1"/>
        <v>5000</v>
      </c>
      <c r="F6" s="20">
        <f>IFERROR(AVERAGEIFS(Dane_Mariannenplatz!$B$2:$B$22,Dane_Mariannenplatz!$A$2:$A$22,$A6),"")</f>
        <v>5000</v>
      </c>
      <c r="G6" s="21">
        <f t="shared" si="2"/>
        <v>0</v>
      </c>
    </row>
    <row r="7">
      <c r="A7" s="26">
        <v>2002.0</v>
      </c>
      <c r="B7" s="17" t="str">
        <f>IFERROR(AVERAGEIFS(Dane_Mariannenplatz!$B$2:$B$23,Dane_Mariannenplatz!$A$2:$A$23,$A7,Dane_Mariannenplatz!$D$2:$D$23,"prasa"),"")</f>
        <v/>
      </c>
      <c r="C7" s="17" t="str">
        <f>IFERROR(AVERAGEIFS(Dane_Mariannenplatz!$B$2:$B$23,Dane_Mariannenplatz!$A$2:$A$23,$A7,Dane_Mariannenplatz!$D$2:$D$23,"organizatorzy"),"")</f>
        <v/>
      </c>
      <c r="D7" s="17" t="str">
        <f>IFERROR(AVERAGEIFS(Dane_Mariannenplatz!$B$2:$B$23,Dane_Mariannenplatz!$A$2:$A$23,$A7,Dane_Mariannenplatz!$D$2:$D$23,"policja"),"")</f>
        <v/>
      </c>
      <c r="E7" s="20" t="str">
        <f t="shared" si="1"/>
        <v/>
      </c>
      <c r="F7" s="20" t="str">
        <f>IFERROR(AVERAGEIFS(Dane_Mariannenplatz!$B$2:$B$22,Dane_Mariannenplatz!$A$2:$A$22,$A7),"")</f>
        <v/>
      </c>
      <c r="G7" s="21">
        <f t="shared" si="2"/>
        <v>0</v>
      </c>
    </row>
    <row r="8" ht="15.75" customHeight="1">
      <c r="B8" s="17"/>
      <c r="C8" s="17"/>
      <c r="D8" s="17"/>
      <c r="E8" s="23" t="str">
        <f>IFERROR(
  (0.5*IF(B8&lt;&gt;"",B8,0) + 0.25*IF(C8&lt;&gt;"",C8,0) + 0.25*IF(D8&lt;&gt;"",D8,0))
  /
  (0.5*IF(B8&lt;&gt;"",1,0) + 0.25*IF(C8&lt;&gt;"",1,0) + 0.25*IF(D8&lt;&gt;"",1,0))
,"")</f>
        <v/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>
      <c r="D16" s="23" t="str">
        <f>IFERROR(__xludf.DUMMYFUNCTION("ARRAYFORMULA(JOIN("", "", IF(F2:F7="""", ""null"", F2:F7)))"),"null, 1500, null, 5000, 5000, null")</f>
        <v>null, 1500, null, 5000, 5000, null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4" t="s">
        <v>5</v>
      </c>
    </row>
    <row r="2">
      <c r="A2" s="8">
        <v>1988.0</v>
      </c>
      <c r="B2" s="8">
        <v>7000.0</v>
      </c>
      <c r="C2" s="1" t="s">
        <v>9</v>
      </c>
      <c r="D2" s="8" t="s">
        <v>11</v>
      </c>
    </row>
    <row r="3">
      <c r="A3" s="8">
        <v>1989.0</v>
      </c>
      <c r="B3" s="8">
        <v>10000.0</v>
      </c>
      <c r="C3" s="8" t="s">
        <v>9</v>
      </c>
      <c r="D3" s="8" t="s">
        <v>11</v>
      </c>
    </row>
    <row r="4">
      <c r="A4" s="6">
        <v>1990.0</v>
      </c>
      <c r="B4" s="8">
        <v>10000.0</v>
      </c>
      <c r="C4" s="1" t="s">
        <v>212</v>
      </c>
      <c r="D4" s="8" t="s">
        <v>20</v>
      </c>
    </row>
    <row r="5">
      <c r="A5" s="6">
        <v>1990.0</v>
      </c>
      <c r="B5" s="8">
        <v>15000.0</v>
      </c>
      <c r="C5" s="8" t="s">
        <v>213</v>
      </c>
      <c r="D5" s="8" t="s">
        <v>21</v>
      </c>
    </row>
    <row r="6">
      <c r="A6" s="8">
        <v>1991.0</v>
      </c>
      <c r="B6" s="8">
        <v>10000.0</v>
      </c>
      <c r="C6" s="8" t="s">
        <v>9</v>
      </c>
      <c r="D6" s="8" t="s">
        <v>9</v>
      </c>
    </row>
    <row r="7">
      <c r="A7" s="10">
        <v>1991.0</v>
      </c>
      <c r="B7" s="10">
        <v>8000.0</v>
      </c>
      <c r="C7" s="8" t="s">
        <v>9</v>
      </c>
      <c r="D7" s="10" t="s">
        <v>20</v>
      </c>
    </row>
    <row r="8">
      <c r="A8" s="10">
        <v>1991.0</v>
      </c>
      <c r="B8" s="10">
        <v>20000.0</v>
      </c>
      <c r="C8" s="8" t="s">
        <v>9</v>
      </c>
      <c r="D8" s="10" t="s">
        <v>21</v>
      </c>
    </row>
    <row r="9">
      <c r="A9" s="13">
        <v>1992.0</v>
      </c>
      <c r="B9" s="13">
        <v>12000.0</v>
      </c>
      <c r="C9" s="8" t="s">
        <v>9</v>
      </c>
      <c r="D9" s="13" t="s">
        <v>11</v>
      </c>
    </row>
    <row r="10">
      <c r="A10" s="13">
        <v>1992.0</v>
      </c>
      <c r="B10" s="13">
        <v>9000.0</v>
      </c>
      <c r="C10" s="8" t="s">
        <v>214</v>
      </c>
      <c r="D10" s="13" t="s">
        <v>20</v>
      </c>
    </row>
    <row r="11">
      <c r="A11" s="10">
        <v>1992.0</v>
      </c>
      <c r="B11" s="10">
        <v>15000.0</v>
      </c>
      <c r="C11" s="8" t="s">
        <v>9</v>
      </c>
      <c r="D11" s="10" t="s">
        <v>11</v>
      </c>
    </row>
    <row r="12">
      <c r="A12" s="10">
        <v>1993.0</v>
      </c>
      <c r="B12" s="10">
        <v>5500.0</v>
      </c>
      <c r="C12" s="8" t="s">
        <v>9</v>
      </c>
      <c r="D12" s="10" t="s">
        <v>20</v>
      </c>
    </row>
    <row r="13">
      <c r="A13" s="8">
        <v>1993.0</v>
      </c>
      <c r="B13" s="8">
        <v>10000.0</v>
      </c>
      <c r="C13" s="8" t="s">
        <v>9</v>
      </c>
      <c r="D13" s="8" t="s">
        <v>11</v>
      </c>
    </row>
    <row r="14">
      <c r="A14" s="8">
        <v>1994.0</v>
      </c>
      <c r="B14" s="8">
        <v>800.0</v>
      </c>
      <c r="C14" s="8" t="s">
        <v>81</v>
      </c>
      <c r="D14" s="8" t="s">
        <v>11</v>
      </c>
    </row>
    <row r="15" ht="15.75" customHeight="1">
      <c r="A15" s="8">
        <v>1994.0</v>
      </c>
      <c r="B15" s="8">
        <v>1000.0</v>
      </c>
      <c r="C15" s="8" t="s">
        <v>9</v>
      </c>
      <c r="D15" s="8" t="s">
        <v>11</v>
      </c>
    </row>
    <row r="16" ht="15.75" customHeight="1">
      <c r="A16" s="10">
        <v>1995.0</v>
      </c>
      <c r="B16" s="8">
        <v>2500.0</v>
      </c>
      <c r="C16" s="8" t="s">
        <v>81</v>
      </c>
      <c r="D16" s="8" t="s">
        <v>11</v>
      </c>
    </row>
    <row r="17" ht="15.75" customHeight="1">
      <c r="A17" s="8">
        <v>1995.0</v>
      </c>
      <c r="B17" s="8">
        <v>2000.0</v>
      </c>
      <c r="C17" s="8" t="s">
        <v>9</v>
      </c>
      <c r="D17" s="8" t="s">
        <v>11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mergeCells count="1">
    <mergeCell ref="E1:M1"/>
  </mergeCells>
  <conditionalFormatting sqref="A2:D17">
    <cfRule type="expression" dxfId="0" priority="1">
      <formula>$D2="policja"</formula>
    </cfRule>
  </conditionalFormatting>
  <conditionalFormatting sqref="A2:D17">
    <cfRule type="expression" dxfId="1" priority="2">
      <formula>$D2="prasa"</formula>
    </cfRule>
  </conditionalFormatting>
  <conditionalFormatting sqref="A2:D17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</row>
    <row r="2">
      <c r="A2" s="26">
        <v>1987.0</v>
      </c>
      <c r="B2" s="17" t="str">
        <f>IFERROR(AVERAGEIFS(Dane_Revo_joint!$B$2:$B$17,Dane_Revo_joint!$A$2:$A$17,$A2,Dane_Revo_joint!$D$2:$D$17,"prasa"),"")</f>
        <v/>
      </c>
      <c r="C2" s="17" t="str">
        <f>IFERROR(AVERAGEIFS(Dane_Revo_joint!$B$2:$B$17,Dane_Revo_joint!$A$2:$A$17,$A2,Dane_Revo_joint!$D$2:$D$17,"organizatorzy"),"")</f>
        <v/>
      </c>
      <c r="D2" s="17" t="str">
        <f>IFERROR(AVERAGEIFS(Dane_Revo_joint!$B$2:$B$17,Dane_Revo_joint!$A$2:$A$17,$A2,Dane_Revo_joint!$D$2:$D$17,"policja"),"")</f>
        <v/>
      </c>
      <c r="E2" s="20" t="str">
        <f t="shared" ref="E2:E10" si="1">IFERROR((0.5*IF(B2&lt;&gt;"",B2,0) + 0.25*IF(C2&lt;&gt;"",C2,0) + 0.25*IF(D2&lt;&gt;"",D2,0))/(0.5*IF(B2&lt;&gt;"",1,0) + 0.25*IF(C2&lt;&gt;"",1,0) + 0.25*IF(D2&lt;&gt;"",1,0)),"")</f>
        <v/>
      </c>
      <c r="F2" s="20" t="str">
        <f>IFERROR(AVERAGEIFS(Dane_Revo_joint!$B$2:$B$14,Dane_Revo_joint!$A$2:$A$14,$A2),"")</f>
        <v/>
      </c>
      <c r="G2" s="21">
        <f t="shared" ref="G2:G10" si="2">E2-F2</f>
        <v>0</v>
      </c>
    </row>
    <row r="3">
      <c r="A3" s="26">
        <v>1988.0</v>
      </c>
      <c r="B3" s="17">
        <f>IFERROR(AVERAGEIFS(Dane_Revo_joint!$B$2:$B$17,Dane_Revo_joint!$A$2:$A$17,$A3,Dane_Revo_joint!$D$2:$D$17,"prasa"),"")</f>
        <v>7000</v>
      </c>
      <c r="C3" s="17" t="str">
        <f>IFERROR(AVERAGEIFS(Dane_Revo_joint!$B$2:$B$17,Dane_Revo_joint!$A$2:$A$17,$A3,Dane_Revo_joint!$D$2:$D$17,"organizatorzy"),"")</f>
        <v/>
      </c>
      <c r="D3" s="17" t="str">
        <f>IFERROR(AVERAGEIFS(Dane_Revo_joint!$B$2:$B$17,Dane_Revo_joint!$A$2:$A$17,$A3,Dane_Revo_joint!$D$2:$D$17,"policja"),"")</f>
        <v/>
      </c>
      <c r="E3" s="20">
        <f t="shared" si="1"/>
        <v>7000</v>
      </c>
      <c r="F3" s="20">
        <f>IFERROR(AVERAGEIFS(Dane_Revo_joint!$B$2:$B$17,Dane_Revo_joint!$A$2:$A$17,$A3),"")</f>
        <v>7000</v>
      </c>
      <c r="G3" s="21">
        <f t="shared" si="2"/>
        <v>0</v>
      </c>
    </row>
    <row r="4">
      <c r="A4" s="26">
        <v>1989.0</v>
      </c>
      <c r="B4" s="17">
        <f>IFERROR(AVERAGEIFS(Dane_Revo_joint!$B$2:$B$17,Dane_Revo_joint!$A$2:$A$17,$A4,Dane_Revo_joint!$D$2:$D$17,"prasa"),"")</f>
        <v>10000</v>
      </c>
      <c r="C4" s="17" t="str">
        <f>IFERROR(AVERAGEIFS(Dane_Revo_joint!$B$2:$B$17,Dane_Revo_joint!$A$2:$A$17,$A4,Dane_Revo_joint!$D$2:$D$17,"organizatorzy"),"")</f>
        <v/>
      </c>
      <c r="D4" s="17" t="str">
        <f>IFERROR(AVERAGEIFS(Dane_Revo_joint!$B$2:$B$17,Dane_Revo_joint!$A$2:$A$17,$A4,Dane_Revo_joint!$D$2:$D$17,"policja"),"")</f>
        <v/>
      </c>
      <c r="E4" s="20">
        <f t="shared" si="1"/>
        <v>10000</v>
      </c>
      <c r="F4" s="20">
        <f>IFERROR(AVERAGEIFS(Dane_Revo_joint!$B$2:$B$17,Dane_Revo_joint!$A$2:$A$17,$A4),"")</f>
        <v>10000</v>
      </c>
      <c r="G4" s="21">
        <f t="shared" si="2"/>
        <v>0</v>
      </c>
    </row>
    <row r="5">
      <c r="A5" s="11">
        <v>1990.0</v>
      </c>
      <c r="B5" s="17" t="str">
        <f>IFERROR(AVERAGEIFS(Dane_Revo_joint!$B$2:$B$17,Dane_Revo_joint!$A$2:$A$17,$A5,Dane_Revo_joint!$D$2:$D$17,"prasa"),"")</f>
        <v/>
      </c>
      <c r="C5" s="17">
        <f>IFERROR(AVERAGEIFS(Dane_Revo_joint!$B$2:$B$17,Dane_Revo_joint!$A$2:$A$17,$A5,Dane_Revo_joint!$D$2:$D$17,"organizatorzy"),"")</f>
        <v>15000</v>
      </c>
      <c r="D5" s="17">
        <f>IFERROR(AVERAGEIFS(Dane_Revo_joint!$B$2:$B$17,Dane_Revo_joint!$A$2:$A$17,$A5,Dane_Revo_joint!$D$2:$D$17,"policja"),"")</f>
        <v>10000</v>
      </c>
      <c r="E5" s="20">
        <f t="shared" si="1"/>
        <v>12500</v>
      </c>
      <c r="F5" s="20">
        <f>IFERROR(AVERAGEIFS(Dane_Revo_joint!$B$2:$B$17,Dane_Revo_joint!$A$2:$A$17,$A5),"")</f>
        <v>12500</v>
      </c>
      <c r="G5" s="21">
        <f t="shared" si="2"/>
        <v>0</v>
      </c>
    </row>
    <row r="6">
      <c r="A6" s="11">
        <v>1991.0</v>
      </c>
      <c r="B6" s="17" t="str">
        <f>IFERROR(AVERAGEIFS(Dane_Revo_joint!$B$2:$B$17,Dane_Revo_joint!$A$2:$A$17,$A6,Dane_Revo_joint!$D$2:$D$17,"prasa"),"")</f>
        <v/>
      </c>
      <c r="C6" s="17">
        <f>IFERROR(AVERAGEIFS(Dane_Revo_joint!$B$2:$B$17,Dane_Revo_joint!$A$2:$A$17,$A6,Dane_Revo_joint!$D$2:$D$17,"organizatorzy"),"")</f>
        <v>20000</v>
      </c>
      <c r="D6" s="17">
        <f>IFERROR(AVERAGEIFS(Dane_Revo_joint!$B$2:$B$17,Dane_Revo_joint!$A$2:$A$17,$A6,Dane_Revo_joint!$D$2:$D$17,"policja"),"")</f>
        <v>8000</v>
      </c>
      <c r="E6" s="20">
        <f t="shared" si="1"/>
        <v>14000</v>
      </c>
      <c r="F6" s="20">
        <f>IFERROR(AVERAGEIFS(Dane_Revo_joint!$B$2:$B$17,Dane_Revo_joint!$A$2:$A$17,$A6),"")</f>
        <v>12666.66667</v>
      </c>
      <c r="G6" s="21">
        <f t="shared" si="2"/>
        <v>1333.333333</v>
      </c>
    </row>
    <row r="7">
      <c r="A7" s="11">
        <v>1992.0</v>
      </c>
      <c r="B7" s="17">
        <f>IFERROR(AVERAGEIFS(Dane_Revo_joint!$B$2:$B$17,Dane_Revo_joint!$A$2:$A$17,$A7,Dane_Revo_joint!$D$2:$D$17,"prasa"),"")</f>
        <v>13500</v>
      </c>
      <c r="C7" s="17" t="str">
        <f>IFERROR(AVERAGEIFS(Dane_Revo_joint!$B$2:$B$17,Dane_Revo_joint!$A$2:$A$17,$A7,Dane_Revo_joint!$D$2:$D$17,"organizatorzy"),"")</f>
        <v/>
      </c>
      <c r="D7" s="17">
        <f>IFERROR(AVERAGEIFS(Dane_Revo_joint!$B$2:$B$17,Dane_Revo_joint!$A$2:$A$17,$A7,Dane_Revo_joint!$D$2:$D$17,"policja"),"")</f>
        <v>9000</v>
      </c>
      <c r="E7" s="20">
        <f t="shared" si="1"/>
        <v>12000</v>
      </c>
      <c r="F7" s="20">
        <f>IFERROR(AVERAGEIFS(Dane_Revo_joint!$B$2:$B$17,Dane_Revo_joint!$A$2:$A$17,$A7),"")</f>
        <v>12000</v>
      </c>
      <c r="G7" s="21">
        <f t="shared" si="2"/>
        <v>0</v>
      </c>
    </row>
    <row r="8">
      <c r="A8" s="11">
        <v>1993.0</v>
      </c>
      <c r="B8" s="17">
        <f>IFERROR(AVERAGEIFS(Dane_Revo_joint!$B$2:$B$17,Dane_Revo_joint!$A$2:$A$17,$A8,Dane_Revo_joint!$D$2:$D$17,"prasa"),"")</f>
        <v>10000</v>
      </c>
      <c r="C8" s="17" t="str">
        <f>IFERROR(AVERAGEIFS(Dane_Revo_joint!$B$2:$B$17,Dane_Revo_joint!$A$2:$A$17,$A8,Dane_Revo_joint!$D$2:$D$17,"organizatorzy"),"")</f>
        <v/>
      </c>
      <c r="D8" s="17">
        <f>IFERROR(AVERAGEIFS(Dane_Revo_joint!$B$2:$B$17,Dane_Revo_joint!$A$2:$A$17,$A8,Dane_Revo_joint!$D$2:$D$17,"policja"),"")</f>
        <v>5500</v>
      </c>
      <c r="E8" s="20">
        <f t="shared" si="1"/>
        <v>8500</v>
      </c>
      <c r="F8" s="20">
        <f>IFERROR(AVERAGEIFS(Dane_Revo_joint!$B$2:$B$17,Dane_Revo_joint!$A$2:$A$17,$A8),"")</f>
        <v>7750</v>
      </c>
      <c r="G8" s="21">
        <f t="shared" si="2"/>
        <v>750</v>
      </c>
    </row>
    <row r="9">
      <c r="A9" s="11">
        <v>1994.0</v>
      </c>
      <c r="B9" s="17">
        <f>IFERROR(AVERAGEIFS(Dane_Revo_joint!$B$2:$B$17,Dane_Revo_joint!$A$2:$A$17,$A9,Dane_Revo_joint!$D$2:$D$17,"prasa"),"")</f>
        <v>900</v>
      </c>
      <c r="C9" s="17" t="str">
        <f>IFERROR(AVERAGEIFS(Dane_Revo_joint!$B$2:$B$17,Dane_Revo_joint!$A$2:$A$17,$A9,Dane_Revo_joint!$D$2:$D$17,"organizatorzy"),"")</f>
        <v/>
      </c>
      <c r="D9" s="17" t="str">
        <f>IFERROR(AVERAGEIFS(Dane_Revo_joint!$B$2:$B$17,Dane_Revo_joint!$A$2:$A$17,$A9,Dane_Revo_joint!$D$2:$D$17,"policja"),"")</f>
        <v/>
      </c>
      <c r="E9" s="20">
        <f t="shared" si="1"/>
        <v>900</v>
      </c>
      <c r="F9" s="20">
        <f>IFERROR(AVERAGEIFS(Dane_Revo_joint!$B$2:$B$17,Dane_Revo_joint!$A$2:$A$17,$A9),"")</f>
        <v>900</v>
      </c>
      <c r="G9" s="21">
        <f t="shared" si="2"/>
        <v>0</v>
      </c>
    </row>
    <row r="10">
      <c r="A10" s="11">
        <v>1995.0</v>
      </c>
      <c r="B10" s="17">
        <f>IFERROR(AVERAGEIFS(Dane_Revo_joint!$B$2:$B$17,Dane_Revo_joint!$A$2:$A$17,$A10,Dane_Revo_joint!$D$2:$D$17,"prasa"),"")</f>
        <v>2250</v>
      </c>
      <c r="C10" s="17" t="str">
        <f>IFERROR(AVERAGEIFS(Dane_Revo_joint!$B$2:$B$17,Dane_Revo_joint!$A$2:$A$17,$A10,Dane_Revo_joint!$D$2:$D$17,"organizatorzy"),"")</f>
        <v/>
      </c>
      <c r="D10" s="17" t="str">
        <f>IFERROR(AVERAGEIFS(Dane_Revo_joint!$B$2:$B$17,Dane_Revo_joint!$A$2:$A$17,$A10,Dane_Revo_joint!$D$2:$D$17,"policja"),"")</f>
        <v/>
      </c>
      <c r="E10" s="20">
        <f t="shared" si="1"/>
        <v>2250</v>
      </c>
      <c r="F10" s="20">
        <f>IFERROR(AVERAGEIFS(Dane_Revo_joint!$B$2:$B$17,Dane_Revo_joint!$A$2:$A$17,$A10),"")</f>
        <v>2250</v>
      </c>
      <c r="G10" s="21">
        <f t="shared" si="2"/>
        <v>0</v>
      </c>
    </row>
    <row r="11" ht="15.75" customHeight="1">
      <c r="E11" s="23" t="str">
        <f>IFERROR(
  (0.5*IF(B11&lt;&gt;"",B11,0) + 0.25*IF(C11&lt;&gt;"",C11,0) + 0.25*IF(D11&lt;&gt;"",D11,0))
  /
  (0.5*IF(B11&lt;&gt;"",1,0) + 0.25*IF(C11&lt;&gt;"",1,0) + 0.25*IF(D11&lt;&gt;"",1,0))
,"")</f>
        <v/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D19" s="23" t="str">
        <f>IFERROR(__xludf.DUMMYFUNCTION("join("", "",F5:F10)"),"12500, 12667, 12000, 7750, 900, 2250")</f>
        <v>12500, 12667, 12000, 7750, 900, 2250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4" t="s">
        <v>5</v>
      </c>
    </row>
    <row r="2">
      <c r="A2" s="8">
        <v>1990.0</v>
      </c>
      <c r="B2" s="1">
        <v>16000.0</v>
      </c>
      <c r="C2" s="1" t="s">
        <v>215</v>
      </c>
      <c r="D2" s="8" t="s">
        <v>11</v>
      </c>
    </row>
    <row r="3">
      <c r="A3" s="8">
        <v>1990.0</v>
      </c>
      <c r="B3" s="8">
        <v>15000.0</v>
      </c>
      <c r="C3" s="19" t="s">
        <v>216</v>
      </c>
      <c r="D3" s="8" t="s">
        <v>11</v>
      </c>
    </row>
    <row r="4">
      <c r="A4" s="8">
        <v>1991.0</v>
      </c>
      <c r="B4" s="8" t="s">
        <v>23</v>
      </c>
      <c r="C4" s="8" t="s">
        <v>23</v>
      </c>
      <c r="D4" s="8"/>
    </row>
    <row r="5">
      <c r="A5" s="8">
        <v>1992.0</v>
      </c>
      <c r="B5" s="8">
        <v>6000.0</v>
      </c>
      <c r="C5" s="1" t="s">
        <v>217</v>
      </c>
      <c r="D5" s="8" t="s">
        <v>11</v>
      </c>
    </row>
    <row r="6">
      <c r="A6" s="8">
        <v>1993.0</v>
      </c>
      <c r="B6" s="8">
        <v>6000.0</v>
      </c>
      <c r="C6" s="8" t="s">
        <v>218</v>
      </c>
      <c r="D6" s="8" t="s">
        <v>11</v>
      </c>
    </row>
    <row r="7">
      <c r="A7" s="8">
        <v>1994.0</v>
      </c>
      <c r="B7" s="8">
        <v>1000.0</v>
      </c>
      <c r="C7" s="8" t="s">
        <v>219</v>
      </c>
      <c r="D7" s="8" t="s">
        <v>11</v>
      </c>
    </row>
    <row r="8">
      <c r="A8" s="10">
        <v>1995.0</v>
      </c>
      <c r="B8" s="10" t="s">
        <v>23</v>
      </c>
      <c r="C8" s="8" t="s">
        <v>220</v>
      </c>
      <c r="D8" s="10"/>
    </row>
    <row r="9">
      <c r="A9" s="10">
        <v>1996.0</v>
      </c>
      <c r="B9" s="10">
        <v>400.0</v>
      </c>
      <c r="C9" s="8" t="s">
        <v>221</v>
      </c>
      <c r="D9" s="10" t="s">
        <v>11</v>
      </c>
    </row>
    <row r="10">
      <c r="A10" s="10">
        <v>1996.0</v>
      </c>
      <c r="B10" s="10">
        <v>4000.0</v>
      </c>
      <c r="C10" s="8" t="s">
        <v>222</v>
      </c>
      <c r="D10" s="10" t="s">
        <v>11</v>
      </c>
    </row>
    <row r="11">
      <c r="A11" s="13">
        <v>1997.0</v>
      </c>
      <c r="B11" s="13">
        <v>5000.0</v>
      </c>
      <c r="C11" s="8" t="s">
        <v>56</v>
      </c>
      <c r="D11" s="13" t="s">
        <v>11</v>
      </c>
    </row>
    <row r="12">
      <c r="A12" s="13">
        <v>1997.0</v>
      </c>
      <c r="B12" s="13">
        <v>15000.0</v>
      </c>
      <c r="C12" s="8" t="s">
        <v>223</v>
      </c>
      <c r="D12" s="13" t="s">
        <v>21</v>
      </c>
    </row>
    <row r="13">
      <c r="A13" s="13">
        <v>1997.0</v>
      </c>
      <c r="B13" s="13">
        <v>2000.0</v>
      </c>
      <c r="C13" s="8" t="s">
        <v>224</v>
      </c>
      <c r="D13" s="13" t="s">
        <v>20</v>
      </c>
    </row>
    <row r="14">
      <c r="A14" s="10">
        <v>1998.0</v>
      </c>
      <c r="B14" s="10">
        <v>1000.0</v>
      </c>
      <c r="C14" s="8" t="s">
        <v>225</v>
      </c>
      <c r="D14" s="10" t="s">
        <v>11</v>
      </c>
    </row>
    <row r="15">
      <c r="A15" s="10">
        <v>1998.0</v>
      </c>
      <c r="B15" s="10">
        <v>12000.0</v>
      </c>
      <c r="C15" s="8" t="s">
        <v>226</v>
      </c>
      <c r="D15" s="10" t="s">
        <v>11</v>
      </c>
    </row>
    <row r="16">
      <c r="A16" s="10">
        <v>1999.0</v>
      </c>
      <c r="B16" s="10">
        <v>10000.0</v>
      </c>
      <c r="C16" s="8" t="s">
        <v>227</v>
      </c>
      <c r="D16" s="10" t="s">
        <v>11</v>
      </c>
    </row>
    <row r="17">
      <c r="A17" s="8">
        <v>2000.0</v>
      </c>
      <c r="B17" s="8">
        <v>7000.0</v>
      </c>
      <c r="C17" s="8" t="s">
        <v>227</v>
      </c>
      <c r="D17" s="8" t="s">
        <v>11</v>
      </c>
    </row>
    <row r="18">
      <c r="A18" s="8">
        <v>2000.0</v>
      </c>
      <c r="B18" s="8">
        <v>3000.0</v>
      </c>
      <c r="C18" s="8" t="s">
        <v>228</v>
      </c>
      <c r="D18" s="8" t="s">
        <v>11</v>
      </c>
    </row>
    <row r="19">
      <c r="A19" s="8">
        <v>2000.0</v>
      </c>
      <c r="B19" s="8">
        <v>1000.0</v>
      </c>
      <c r="C19" s="8" t="s">
        <v>229</v>
      </c>
      <c r="D19" s="8" t="s">
        <v>11</v>
      </c>
    </row>
    <row r="20">
      <c r="A20" s="8">
        <v>2001.0</v>
      </c>
      <c r="B20" s="8">
        <v>7000.0</v>
      </c>
      <c r="C20" s="8" t="s">
        <v>230</v>
      </c>
      <c r="D20" s="8" t="s">
        <v>11</v>
      </c>
    </row>
    <row r="21">
      <c r="A21" s="8">
        <v>2001.0</v>
      </c>
      <c r="B21" s="8">
        <v>7500.0</v>
      </c>
      <c r="C21" s="8" t="s">
        <v>231</v>
      </c>
      <c r="D21" s="8" t="s">
        <v>11</v>
      </c>
    </row>
    <row r="22" ht="15.75" customHeight="1">
      <c r="A22" s="8">
        <v>2002.0</v>
      </c>
      <c r="B22" s="8">
        <v>3500.0</v>
      </c>
      <c r="C22" s="8" t="s">
        <v>232</v>
      </c>
      <c r="D22" s="8" t="s">
        <v>11</v>
      </c>
    </row>
    <row r="23" ht="15.75" customHeight="1">
      <c r="A23" s="8">
        <v>2002.0</v>
      </c>
      <c r="B23" s="8">
        <v>1000.0</v>
      </c>
      <c r="C23" s="8" t="s">
        <v>233</v>
      </c>
      <c r="D23" s="8" t="s">
        <v>11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mergeCells count="1">
    <mergeCell ref="E1:M1"/>
  </mergeCells>
  <conditionalFormatting sqref="A2:D23">
    <cfRule type="expression" dxfId="0" priority="1">
      <formula>$D2="policja"</formula>
    </cfRule>
  </conditionalFormatting>
  <conditionalFormatting sqref="A2:D23">
    <cfRule type="expression" dxfId="1" priority="2">
      <formula>$D2="prasa"</formula>
    </cfRule>
  </conditionalFormatting>
  <conditionalFormatting sqref="A2:D23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</row>
    <row r="2">
      <c r="A2" s="26">
        <v>1990.0</v>
      </c>
      <c r="B2" s="17">
        <f>IFERROR(AVERAGEIFS(Dane_Ost_PDS!$B$2:$B$23,Dane_Ost_PDS!$A$2:$A$23,$A2,Dane_Ost_PDS!$D$2:$D$23,"prasa"),"")</f>
        <v>15500</v>
      </c>
      <c r="C2" s="17" t="str">
        <f>IFERROR(AVERAGEIFS(Dane_Ost_PDS!$B$2:$B$23,Dane_Ost_PDS!$A$2:$A$23,$A2,Dane_Ost_PDS!$D$2:$D$23,"organizatorzy"),"")</f>
        <v/>
      </c>
      <c r="D2" s="17" t="str">
        <f>IFERROR(AVERAGEIFS(Dane_Ost_PDS!$B$2:$B$23,Dane_Ost_PDS!$A$2:$A$23,$A2,Dane_Ost_PDS!$D$2:$D$23,"policja"),"")</f>
        <v/>
      </c>
      <c r="E2" s="20">
        <f t="shared" ref="E2:E14" si="1">IFERROR((0.5*IF(B2&lt;&gt;"",B2,0) + 0.25*IF(C2&lt;&gt;"",C2,0) + 0.25*IF(D2&lt;&gt;"",D2,0))/(0.5*IF(B2&lt;&gt;"",1,0) + 0.25*IF(C2&lt;&gt;"",1,0) + 0.25*IF(D2&lt;&gt;"",1,0)),"")</f>
        <v>15500</v>
      </c>
      <c r="F2" s="20">
        <f>IFERROR(AVERAGEIFS(Dane_Ost_PDS!$B$2:$B$23,Dane_Ost_PDS!$A$2:$A$23,$A2),"")</f>
        <v>15500</v>
      </c>
      <c r="G2" s="21">
        <f t="shared" ref="G2:G14" si="2">E2-F2</f>
        <v>0</v>
      </c>
    </row>
    <row r="3">
      <c r="A3" s="26">
        <v>1991.0</v>
      </c>
      <c r="B3" s="17" t="str">
        <f>IFERROR(AVERAGEIFS(Dane_Ost_PDS!$B$2:$B$23,Dane_Ost_PDS!$A$2:$A$23,$A3,Dane_Ost_PDS!$D$2:$D$23,"prasa"),"")</f>
        <v/>
      </c>
      <c r="C3" s="17" t="str">
        <f>IFERROR(AVERAGEIFS(Dane_Ost_PDS!$B$2:$B$23,Dane_Ost_PDS!$A$2:$A$23,$A3,Dane_Ost_PDS!$D$2:$D$23,"organizatorzy"),"")</f>
        <v/>
      </c>
      <c r="D3" s="17" t="str">
        <f>IFERROR(AVERAGEIFS(Dane_Ost_PDS!$B$2:$B$23,Dane_Ost_PDS!$A$2:$A$23,$A3,Dane_Ost_PDS!$D$2:$D$23,"policja"),"")</f>
        <v/>
      </c>
      <c r="E3" s="20" t="str">
        <f t="shared" si="1"/>
        <v/>
      </c>
      <c r="F3" s="20" t="str">
        <f>IFERROR(AVERAGEIFS(Dane_Ost_PDS!$B$2:$B$23,Dane_Ost_PDS!$A$2:$A$23,$A3),"")</f>
        <v/>
      </c>
      <c r="G3" s="21">
        <f t="shared" si="2"/>
        <v>0</v>
      </c>
    </row>
    <row r="4">
      <c r="A4" s="26">
        <v>1992.0</v>
      </c>
      <c r="B4" s="17">
        <f>IFERROR(AVERAGEIFS(Dane_Ost_PDS!$B$2:$B$23,Dane_Ost_PDS!$A$2:$A$23,$A4,Dane_Ost_PDS!$D$2:$D$23,"prasa"),"")</f>
        <v>6000</v>
      </c>
      <c r="C4" s="17" t="str">
        <f>IFERROR(AVERAGEIFS(Dane_Ost_PDS!$B$2:$B$23,Dane_Ost_PDS!$A$2:$A$23,$A4,Dane_Ost_PDS!$D$2:$D$23,"organizatorzy"),"")</f>
        <v/>
      </c>
      <c r="D4" s="17" t="str">
        <f>IFERROR(AVERAGEIFS(Dane_Ost_PDS!$B$2:$B$23,Dane_Ost_PDS!$A$2:$A$23,$A4,Dane_Ost_PDS!$D$2:$D$23,"policja"),"")</f>
        <v/>
      </c>
      <c r="E4" s="20">
        <f t="shared" si="1"/>
        <v>6000</v>
      </c>
      <c r="F4" s="20">
        <f>IFERROR(AVERAGEIFS(Dane_Ost_PDS!$B$2:$B$23,Dane_Ost_PDS!$A$2:$A$23,$A4),"")</f>
        <v>6000</v>
      </c>
      <c r="G4" s="21">
        <f t="shared" si="2"/>
        <v>0</v>
      </c>
    </row>
    <row r="5">
      <c r="A5" s="26">
        <v>1993.0</v>
      </c>
      <c r="B5" s="17">
        <f>IFERROR(AVERAGEIFS(Dane_Ost_PDS!$B$2:$B$23,Dane_Ost_PDS!$A$2:$A$23,$A5,Dane_Ost_PDS!$D$2:$D$23,"prasa"),"")</f>
        <v>6000</v>
      </c>
      <c r="C5" s="17" t="str">
        <f>IFERROR(AVERAGEIFS(Dane_Ost_PDS!$B$2:$B$23,Dane_Ost_PDS!$A$2:$A$23,$A5,Dane_Ost_PDS!$D$2:$D$23,"organizatorzy"),"")</f>
        <v/>
      </c>
      <c r="D5" s="17" t="str">
        <f>IFERROR(AVERAGEIFS(Dane_Ost_PDS!$B$2:$B$23,Dane_Ost_PDS!$A$2:$A$23,$A5,Dane_Ost_PDS!$D$2:$D$23,"policja"),"")</f>
        <v/>
      </c>
      <c r="E5" s="20">
        <f t="shared" si="1"/>
        <v>6000</v>
      </c>
      <c r="F5" s="20">
        <f>IFERROR(AVERAGEIFS(Dane_Ost_PDS!$B$2:$B$23,Dane_Ost_PDS!$A$2:$A$23,$A5),"")</f>
        <v>6000</v>
      </c>
      <c r="G5" s="21">
        <f t="shared" si="2"/>
        <v>0</v>
      </c>
    </row>
    <row r="6">
      <c r="A6" s="26">
        <v>1994.0</v>
      </c>
      <c r="B6" s="17">
        <f>IFERROR(AVERAGEIFS(Dane_Ost_PDS!$B$2:$B$23,Dane_Ost_PDS!$A$2:$A$23,$A6,Dane_Ost_PDS!$D$2:$D$23,"prasa"),"")</f>
        <v>1000</v>
      </c>
      <c r="C6" s="17" t="str">
        <f>IFERROR(AVERAGEIFS(Dane_Ost_PDS!$B$2:$B$23,Dane_Ost_PDS!$A$2:$A$23,$A6,Dane_Ost_PDS!$D$2:$D$23,"organizatorzy"),"")</f>
        <v/>
      </c>
      <c r="D6" s="17" t="str">
        <f>IFERROR(AVERAGEIFS(Dane_Ost_PDS!$B$2:$B$23,Dane_Ost_PDS!$A$2:$A$23,$A6,Dane_Ost_PDS!$D$2:$D$23,"policja"),"")</f>
        <v/>
      </c>
      <c r="E6" s="20">
        <f t="shared" si="1"/>
        <v>1000</v>
      </c>
      <c r="F6" s="20">
        <f>IFERROR(AVERAGEIFS(Dane_Ost_PDS!$B$2:$B$23,Dane_Ost_PDS!$A$2:$A$23,$A6),"")</f>
        <v>1000</v>
      </c>
      <c r="G6" s="21">
        <f t="shared" si="2"/>
        <v>0</v>
      </c>
    </row>
    <row r="7">
      <c r="A7" s="26">
        <v>1995.0</v>
      </c>
      <c r="B7" s="17" t="str">
        <f>IFERROR(AVERAGEIFS(Dane_Ost_PDS!$B$2:$B$23,Dane_Ost_PDS!$A$2:$A$23,$A7,Dane_Ost_PDS!$D$2:$D$23,"prasa"),"")</f>
        <v/>
      </c>
      <c r="C7" s="17" t="str">
        <f>IFERROR(AVERAGEIFS(Dane_Ost_PDS!$B$2:$B$23,Dane_Ost_PDS!$A$2:$A$23,$A7,Dane_Ost_PDS!$D$2:$D$23,"organizatorzy"),"")</f>
        <v/>
      </c>
      <c r="D7" s="17" t="str">
        <f>IFERROR(AVERAGEIFS(Dane_Ost_PDS!$B$2:$B$23,Dane_Ost_PDS!$A$2:$A$23,$A7,Dane_Ost_PDS!$D$2:$D$23,"policja"),"")</f>
        <v/>
      </c>
      <c r="E7" s="20" t="str">
        <f t="shared" si="1"/>
        <v/>
      </c>
      <c r="F7" s="20" t="str">
        <f>IFERROR(AVERAGEIFS(Dane_Ost_PDS!$B$2:$B$23,Dane_Ost_PDS!$A$2:$A$23,$A7),"")</f>
        <v/>
      </c>
      <c r="G7" s="21">
        <f t="shared" si="2"/>
        <v>0</v>
      </c>
    </row>
    <row r="8">
      <c r="A8" s="26">
        <v>1996.0</v>
      </c>
      <c r="B8" s="17">
        <f>IFERROR(AVERAGEIFS(Dane_Ost_PDS!$B$2:$B$23,Dane_Ost_PDS!$A$2:$A$23,$A8,Dane_Ost_PDS!$D$2:$D$23,"prasa"),"")</f>
        <v>2200</v>
      </c>
      <c r="C8" s="17" t="str">
        <f>IFERROR(AVERAGEIFS(Dane_Ost_PDS!$B$2:$B$23,Dane_Ost_PDS!$A$2:$A$23,$A8,Dane_Ost_PDS!$D$2:$D$23,"organizatorzy"),"")</f>
        <v/>
      </c>
      <c r="D8" s="17" t="str">
        <f>IFERROR(AVERAGEIFS(Dane_Ost_PDS!$B$2:$B$23,Dane_Ost_PDS!$A$2:$A$23,$A8,Dane_Ost_PDS!$D$2:$D$23,"policja"),"")</f>
        <v/>
      </c>
      <c r="E8" s="20">
        <f t="shared" si="1"/>
        <v>2200</v>
      </c>
      <c r="F8" s="20">
        <f>IFERROR(AVERAGEIFS(Dane_Ost_PDS!$B$2:$B$23,Dane_Ost_PDS!$A$2:$A$23,$A8),"")</f>
        <v>2200</v>
      </c>
      <c r="G8" s="21">
        <f t="shared" si="2"/>
        <v>0</v>
      </c>
    </row>
    <row r="9">
      <c r="A9" s="26">
        <v>1997.0</v>
      </c>
      <c r="B9" s="17">
        <f>IFERROR(AVERAGEIFS(Dane_Ost_PDS!$B$2:$B$23,Dane_Ost_PDS!$A$2:$A$23,$A9,Dane_Ost_PDS!$D$2:$D$23,"prasa"),"")</f>
        <v>5000</v>
      </c>
      <c r="C9" s="17">
        <f>IFERROR(AVERAGEIFS(Dane_Ost_PDS!$B$2:$B$23,Dane_Ost_PDS!$A$2:$A$23,$A9,Dane_Ost_PDS!$D$2:$D$23,"organizatorzy"),"")</f>
        <v>15000</v>
      </c>
      <c r="D9" s="17">
        <f>IFERROR(AVERAGEIFS(Dane_Ost_PDS!$B$2:$B$23,Dane_Ost_PDS!$A$2:$A$23,$A9,Dane_Ost_PDS!$D$2:$D$23,"policja"),"")</f>
        <v>2000</v>
      </c>
      <c r="E9" s="20">
        <f t="shared" si="1"/>
        <v>6750</v>
      </c>
      <c r="F9" s="20">
        <f>IFERROR(AVERAGEIFS(Dane_Ost_PDS!$B$2:$B$23,Dane_Ost_PDS!$A$2:$A$23,$A9),"")</f>
        <v>7333.333333</v>
      </c>
      <c r="G9" s="21">
        <f t="shared" si="2"/>
        <v>-583.3333333</v>
      </c>
    </row>
    <row r="10">
      <c r="A10" s="26">
        <v>1998.0</v>
      </c>
      <c r="B10" s="17">
        <f>IFERROR(AVERAGEIFS(Dane_Ost_PDS!$B$2:$B$23,Dane_Ost_PDS!$A$2:$A$23,$A10,Dane_Ost_PDS!$D$2:$D$23,"prasa"),"")</f>
        <v>6500</v>
      </c>
      <c r="C10" s="17" t="str">
        <f>IFERROR(AVERAGEIFS(Dane_Ost_PDS!$B$2:$B$23,Dane_Ost_PDS!$A$2:$A$23,$A10,Dane_Ost_PDS!$D$2:$D$23,"organizatorzy"),"")</f>
        <v/>
      </c>
      <c r="D10" s="17" t="str">
        <f>IFERROR(AVERAGEIFS(Dane_Ost_PDS!$B$2:$B$23,Dane_Ost_PDS!$A$2:$A$23,$A10,Dane_Ost_PDS!$D$2:$D$23,"policja"),"")</f>
        <v/>
      </c>
      <c r="E10" s="20">
        <f t="shared" si="1"/>
        <v>6500</v>
      </c>
      <c r="F10" s="20">
        <f>IFERROR(AVERAGEIFS(Dane_Ost_PDS!$B$2:$B$23,Dane_Ost_PDS!$A$2:$A$23,$A10),"")</f>
        <v>6500</v>
      </c>
      <c r="G10" s="21">
        <f t="shared" si="2"/>
        <v>0</v>
      </c>
    </row>
    <row r="11" ht="15.75" customHeight="1">
      <c r="A11" s="1">
        <v>1999.0</v>
      </c>
      <c r="B11" s="17">
        <f>IFERROR(AVERAGEIFS(Dane_Ost_PDS!$B$2:$B$23,Dane_Ost_PDS!$A$2:$A$23,$A11,Dane_Ost_PDS!$D$2:$D$23,"prasa"),"")</f>
        <v>10000</v>
      </c>
      <c r="C11" s="17" t="str">
        <f>IFERROR(AVERAGEIFS(Dane_Ost_PDS!$B$2:$B$23,Dane_Ost_PDS!$A$2:$A$23,$A11,Dane_Ost_PDS!$D$2:$D$23,"organizatorzy"),"")</f>
        <v/>
      </c>
      <c r="D11" s="17" t="str">
        <f>IFERROR(AVERAGEIFS(Dane_Ost_PDS!$B$2:$B$23,Dane_Ost_PDS!$A$2:$A$23,$A11,Dane_Ost_PDS!$D$2:$D$23,"policja"),"")</f>
        <v/>
      </c>
      <c r="E11" s="20">
        <f t="shared" si="1"/>
        <v>10000</v>
      </c>
      <c r="F11" s="20">
        <f>IFERROR(AVERAGEIFS(Dane_Ost_PDS!$B$2:$B$23,Dane_Ost_PDS!$A$2:$A$23,$A11),"")</f>
        <v>10000</v>
      </c>
      <c r="G11" s="21">
        <f t="shared" si="2"/>
        <v>0</v>
      </c>
    </row>
    <row r="12" ht="15.75" customHeight="1">
      <c r="A12" s="1">
        <v>2000.0</v>
      </c>
      <c r="B12" s="17">
        <f>IFERROR(AVERAGEIFS(Dane_Ost_PDS!$B$2:$B$23,Dane_Ost_PDS!$A$2:$A$23,$A12,Dane_Ost_PDS!$D$2:$D$23,"prasa"),"")</f>
        <v>3666.666667</v>
      </c>
      <c r="C12" s="17" t="str">
        <f>IFERROR(AVERAGEIFS(Dane_Ost_PDS!$B$2:$B$23,Dane_Ost_PDS!$A$2:$A$23,$A12,Dane_Ost_PDS!$D$2:$D$23,"organizatorzy"),"")</f>
        <v/>
      </c>
      <c r="D12" s="17" t="str">
        <f>IFERROR(AVERAGEIFS(Dane_Ost_PDS!$B$2:$B$23,Dane_Ost_PDS!$A$2:$A$23,$A12,Dane_Ost_PDS!$D$2:$D$23,"policja"),"")</f>
        <v/>
      </c>
      <c r="E12" s="20">
        <f t="shared" si="1"/>
        <v>3666.666667</v>
      </c>
      <c r="F12" s="20">
        <f>IFERROR(AVERAGEIFS(Dane_Ost_PDS!$B$2:$B$23,Dane_Ost_PDS!$A$2:$A$23,$A12),"")</f>
        <v>3666.666667</v>
      </c>
      <c r="G12" s="21">
        <f t="shared" si="2"/>
        <v>0</v>
      </c>
    </row>
    <row r="13" ht="15.75" customHeight="1">
      <c r="A13" s="1">
        <v>2001.0</v>
      </c>
      <c r="B13" s="17">
        <f>IFERROR(AVERAGEIFS(Dane_Ost_PDS!$B$2:$B$23,Dane_Ost_PDS!$A$2:$A$23,$A13,Dane_Ost_PDS!$D$2:$D$23,"prasa"),"")</f>
        <v>7250</v>
      </c>
      <c r="C13" s="17" t="str">
        <f>IFERROR(AVERAGEIFS(Dane_Ost_PDS!$B$2:$B$23,Dane_Ost_PDS!$A$2:$A$23,$A13,Dane_Ost_PDS!$D$2:$D$23,"organizatorzy"),"")</f>
        <v/>
      </c>
      <c r="D13" s="17" t="str">
        <f>IFERROR(AVERAGEIFS(Dane_Ost_PDS!$B$2:$B$23,Dane_Ost_PDS!$A$2:$A$23,$A13,Dane_Ost_PDS!$D$2:$D$23,"policja"),"")</f>
        <v/>
      </c>
      <c r="E13" s="20">
        <f t="shared" si="1"/>
        <v>7250</v>
      </c>
      <c r="F13" s="20">
        <f>IFERROR(AVERAGEIFS(Dane_Ost_PDS!$B$2:$B$23,Dane_Ost_PDS!$A$2:$A$23,$A13),"")</f>
        <v>7250</v>
      </c>
      <c r="G13" s="21">
        <f t="shared" si="2"/>
        <v>0</v>
      </c>
    </row>
    <row r="14" ht="15.75" customHeight="1">
      <c r="A14" s="1">
        <v>2002.0</v>
      </c>
      <c r="B14" s="17">
        <f>IFERROR(AVERAGEIFS(Dane_Ost_PDS!$B$2:$B$23,Dane_Ost_PDS!$A$2:$A$23,$A14,Dane_Ost_PDS!$D$2:$D$23,"prasa"),"")</f>
        <v>2250</v>
      </c>
      <c r="C14" s="17" t="str">
        <f>IFERROR(AVERAGEIFS(Dane_Ost_PDS!$B$2:$B$23,Dane_Ost_PDS!$A$2:$A$23,$A14,Dane_Ost_PDS!$D$2:$D$23,"organizatorzy"),"")</f>
        <v/>
      </c>
      <c r="D14" s="17" t="str">
        <f>IFERROR(AVERAGEIFS(Dane_Ost_PDS!$B$2:$B$23,Dane_Ost_PDS!$A$2:$A$23,$A14,Dane_Ost_PDS!$D$2:$D$23,"policja"),"")</f>
        <v/>
      </c>
      <c r="E14" s="20">
        <f t="shared" si="1"/>
        <v>2250</v>
      </c>
      <c r="F14" s="20">
        <f>IFERROR(AVERAGEIFS(Dane_Ost_PDS!$B$2:$B$23,Dane_Ost_PDS!$A$2:$A$23,$A14),"")</f>
        <v>2250</v>
      </c>
      <c r="G14" s="21">
        <f t="shared" si="2"/>
        <v>0</v>
      </c>
    </row>
    <row r="15" ht="15.75" customHeight="1"/>
    <row r="16" ht="15.75" customHeight="1"/>
    <row r="17" ht="15.75" customHeight="1"/>
    <row r="18" ht="15.75" customHeight="1"/>
    <row r="19" ht="15.75" customHeight="1">
      <c r="D19" s="23" t="str">
        <f>IFERROR(__xludf.DUMMYFUNCTION("ARRAYFORMULA(JOIN("", "", IF(F2:F15="""", ""null"", ROUND(F2:F15,0))))"),"15500, null, 6000, 6000, 1000, null, 2200, 7333, 6500, 10000, 3667, 7250, 2250, null")</f>
        <v>15500, null, 6000, 6000, 1000, null, 2200, 7333, 6500, 10000, 3667, 7250, 2250, null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4" t="s">
        <v>5</v>
      </c>
    </row>
    <row r="2" ht="15.75" customHeight="1">
      <c r="A2" s="8">
        <v>2006.0</v>
      </c>
      <c r="B2" s="8">
        <v>4000.0</v>
      </c>
      <c r="C2" s="8" t="s">
        <v>189</v>
      </c>
      <c r="D2" s="8" t="s">
        <v>11</v>
      </c>
    </row>
    <row r="3" ht="15.75" customHeight="1">
      <c r="A3" s="8">
        <v>2007.0</v>
      </c>
      <c r="B3" s="8">
        <v>6000.0</v>
      </c>
      <c r="C3" s="8" t="s">
        <v>41</v>
      </c>
      <c r="D3" s="8" t="s">
        <v>11</v>
      </c>
    </row>
    <row r="4" ht="15.75" customHeight="1">
      <c r="A4" s="10">
        <v>2007.0</v>
      </c>
      <c r="B4" s="10">
        <v>8000.0</v>
      </c>
      <c r="C4" s="10" t="s">
        <v>206</v>
      </c>
      <c r="D4" s="10" t="s">
        <v>11</v>
      </c>
    </row>
    <row r="5" ht="15.75" customHeight="1">
      <c r="A5" s="10">
        <v>2008.0</v>
      </c>
      <c r="B5" s="10">
        <v>6500.0</v>
      </c>
      <c r="C5" s="10" t="s">
        <v>36</v>
      </c>
      <c r="D5" s="10" t="s">
        <v>21</v>
      </c>
    </row>
    <row r="6" ht="15.75" customHeight="1">
      <c r="A6" s="10">
        <v>2009.0</v>
      </c>
      <c r="B6" s="10">
        <v>3500.0</v>
      </c>
      <c r="C6" s="10" t="s">
        <v>36</v>
      </c>
      <c r="D6" s="10" t="s">
        <v>21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</sheetData>
  <mergeCells count="1">
    <mergeCell ref="E1:M1"/>
  </mergeCells>
  <conditionalFormatting sqref="A2:D6">
    <cfRule type="expression" dxfId="0" priority="1">
      <formula>$D2="policja"</formula>
    </cfRule>
  </conditionalFormatting>
  <conditionalFormatting sqref="A2:D6">
    <cfRule type="expression" dxfId="1" priority="2">
      <formula>$D2="prasa"</formula>
    </cfRule>
  </conditionalFormatting>
  <conditionalFormatting sqref="A2:D6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</row>
    <row r="2">
      <c r="A2" s="11">
        <v>2006.0</v>
      </c>
      <c r="B2" s="17">
        <f>IFERROR(AVERAGEIFS('Euro MayDay'!$B$2:$B$6,'Euro MayDay'!$A$2:$A$6,$A2,'Euro MayDay'!$D$2:$D$6,"prasa"),"")</f>
        <v>4000</v>
      </c>
      <c r="C2" s="17" t="str">
        <f>IFERROR(AVERAGEIFS('Euro MayDay'!$B$2:$B$6,'Euro MayDay'!$A$2:$A$6,$A2,'Euro MayDay'!$D$2:$D$6,"organizatorzy"),"")</f>
        <v/>
      </c>
      <c r="D2" s="17" t="str">
        <f>IFERROR(AVERAGEIFS('Euro MayDay'!$B$2:$B$6,'Euro MayDay'!$A$2:$A$6,$A2,'Euro MayDay'!$D$2:$D$6,"policja"),"")</f>
        <v/>
      </c>
      <c r="E2" s="20">
        <f t="shared" ref="E2:E5" si="1">IFERROR((0.5*IF(B2&lt;&gt;"",B2,0) + 0.25*IF(C2&lt;&gt;"",C2,0) + 0.25*IF(D2&lt;&gt;"",D2,0))/(0.5*IF(B2&lt;&gt;"",1,0) + 0.25*IF(C2&lt;&gt;"",1,0) + 0.25*IF(D2&lt;&gt;"",1,0)),"")</f>
        <v>4000</v>
      </c>
      <c r="F2" s="20">
        <f>IFERROR(AVERAGEIFS('Euro MayDay'!$B$2:$B$6,'Euro MayDay'!$A$2:$A$6,$A2),"")</f>
        <v>4000</v>
      </c>
      <c r="G2" s="21">
        <f t="shared" ref="G2:G5" si="2">E2-F2</f>
        <v>0</v>
      </c>
    </row>
    <row r="3">
      <c r="A3" s="11">
        <v>2007.0</v>
      </c>
      <c r="B3" s="17">
        <f>IFERROR(AVERAGEIFS('Euro MayDay'!$B$2:$B$6,'Euro MayDay'!$A$2:$A$6,$A3,'Euro MayDay'!$D$2:$D$6,"prasa"),"")</f>
        <v>7000</v>
      </c>
      <c r="C3" s="17" t="str">
        <f>IFERROR(AVERAGEIFS('Euro MayDay'!$B$2:$B$6,'Euro MayDay'!$A$2:$A$6,$A3,'Euro MayDay'!$D$2:$D$6,"organizatorzy"),"")</f>
        <v/>
      </c>
      <c r="D3" s="17" t="str">
        <f>IFERROR(AVERAGEIFS('Euro MayDay'!$B$2:$B$6,'Euro MayDay'!$A$2:$A$6,$A3,'Euro MayDay'!$D$2:$D$6,"policja"),"")</f>
        <v/>
      </c>
      <c r="E3" s="20">
        <f t="shared" si="1"/>
        <v>7000</v>
      </c>
      <c r="F3" s="20">
        <f>IFERROR(AVERAGEIFS('Euro MayDay'!$B$2:$B$6,'Euro MayDay'!$A$2:$A$6,$A3),"")</f>
        <v>7000</v>
      </c>
      <c r="G3" s="21">
        <f t="shared" si="2"/>
        <v>0</v>
      </c>
    </row>
    <row r="4">
      <c r="A4" s="11">
        <v>2008.0</v>
      </c>
      <c r="B4" s="17" t="str">
        <f>IFERROR(AVERAGEIFS('Euro MayDay'!$B$2:$B$6,'Euro MayDay'!$A$2:$A$6,$A4,'Euro MayDay'!$D$2:$D$6,"prasa"),"")</f>
        <v/>
      </c>
      <c r="C4" s="17">
        <f>IFERROR(AVERAGEIFS('Euro MayDay'!$B$2:$B$6,'Euro MayDay'!$A$2:$A$6,$A4,'Euro MayDay'!$D$2:$D$6,"organizatorzy"),"")</f>
        <v>6500</v>
      </c>
      <c r="D4" s="17" t="str">
        <f>IFERROR(AVERAGEIFS('Euro MayDay'!$B$2:$B$6,'Euro MayDay'!$A$2:$A$6,$A4,'Euro MayDay'!$D$2:$D$6,"policja"),"")</f>
        <v/>
      </c>
      <c r="E4" s="20">
        <f t="shared" si="1"/>
        <v>6500</v>
      </c>
      <c r="F4" s="20">
        <f>IFERROR(AVERAGEIFS('Euro MayDay'!$B$2:$B$6,'Euro MayDay'!$A$2:$A$6,$A4),"")</f>
        <v>6500</v>
      </c>
      <c r="G4" s="21">
        <f t="shared" si="2"/>
        <v>0</v>
      </c>
    </row>
    <row r="5" ht="15.75" customHeight="1">
      <c r="A5" s="11">
        <v>2009.0</v>
      </c>
      <c r="B5" s="17" t="str">
        <f>IFERROR(AVERAGEIFS('Euro MayDay'!$B$2:$B$6,'Euro MayDay'!$A$2:$A$6,$A5,'Euro MayDay'!$D$2:$D$6,"prasa"),"")</f>
        <v/>
      </c>
      <c r="C5" s="17">
        <f>IFERROR(AVERAGEIFS('Euro MayDay'!$B$2:$B$6,'Euro MayDay'!$A$2:$A$6,$A5,'Euro MayDay'!$D$2:$D$6,"organizatorzy"),"")</f>
        <v>3500</v>
      </c>
      <c r="D5" s="17" t="str">
        <f>IFERROR(AVERAGEIFS('Euro MayDay'!$B$2:$B$6,'Euro MayDay'!$A$2:$A$6,$A5,'Euro MayDay'!$D$2:$D$6,"policja"),"")</f>
        <v/>
      </c>
      <c r="E5" s="20">
        <f t="shared" si="1"/>
        <v>3500</v>
      </c>
      <c r="F5" s="20">
        <f>IFERROR(AVERAGEIFS('Euro MayDay'!$B$2:$B$6,'Euro MayDay'!$A$2:$A$6,$A5),"")</f>
        <v>3500</v>
      </c>
      <c r="G5" s="21">
        <f t="shared" si="2"/>
        <v>0</v>
      </c>
    </row>
    <row r="6" ht="15.75" customHeight="1">
      <c r="E6" s="23" t="str">
        <f>IFERROR(
  (0.5*IF(B6&lt;&gt;"",B6,0) + 0.25*IF(C6&lt;&gt;"",C6,0) + 0.25*IF(D6&lt;&gt;"",D6,0))
  /
  (0.5*IF(B6&lt;&gt;"",1,0) + 0.25*IF(C6&lt;&gt;"",1,0) + 0.25*IF(D6&lt;&gt;"",1,0))
,"")</f>
        <v/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>
      <c r="D14" s="23" t="str">
        <f>IFERROR(__xludf.DUMMYFUNCTION("join("", "",F2:F5)"),"4000, 7000, 6500, 3500")</f>
        <v>4000, 7000, 6500, 3500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4" t="s">
        <v>5</v>
      </c>
    </row>
    <row r="2" ht="15.75" customHeight="1">
      <c r="A2" s="6">
        <v>1996.0</v>
      </c>
      <c r="B2" s="8">
        <v>3000.0</v>
      </c>
      <c r="C2" s="8" t="s">
        <v>9</v>
      </c>
      <c r="D2" s="8" t="s">
        <v>11</v>
      </c>
    </row>
    <row r="3" ht="15.75" customHeight="1">
      <c r="A3" s="8">
        <v>1997.0</v>
      </c>
      <c r="B3" s="8">
        <v>2000.0</v>
      </c>
      <c r="C3" s="8" t="s">
        <v>9</v>
      </c>
      <c r="D3" s="8" t="s">
        <v>11</v>
      </c>
    </row>
    <row r="4" ht="15.75" customHeight="1">
      <c r="A4" s="8">
        <v>1998.0</v>
      </c>
      <c r="B4" s="8">
        <v>1750.0</v>
      </c>
      <c r="C4" s="8" t="s">
        <v>9</v>
      </c>
      <c r="D4" s="8" t="s">
        <v>11</v>
      </c>
    </row>
    <row r="5" ht="15.75" customHeight="1">
      <c r="A5" s="8">
        <v>1999.0</v>
      </c>
      <c r="B5" s="8">
        <v>1500.0</v>
      </c>
      <c r="C5" s="8" t="s">
        <v>9</v>
      </c>
      <c r="D5" s="8" t="s">
        <v>11</v>
      </c>
    </row>
    <row r="6" ht="15.75" customHeight="1">
      <c r="A6" s="8">
        <v>2000.0</v>
      </c>
      <c r="B6" s="8">
        <v>1000.0</v>
      </c>
      <c r="C6" s="8" t="s">
        <v>9</v>
      </c>
      <c r="D6" s="8" t="s">
        <v>11</v>
      </c>
    </row>
    <row r="7" ht="15.75" customHeight="1">
      <c r="A7" s="10">
        <v>2000.0</v>
      </c>
      <c r="B7" s="10">
        <v>800.0</v>
      </c>
      <c r="C7" s="10" t="s">
        <v>206</v>
      </c>
      <c r="D7" s="10" t="s">
        <v>11</v>
      </c>
    </row>
    <row r="8" ht="15.75" customHeight="1">
      <c r="A8" s="10">
        <v>2000.0</v>
      </c>
      <c r="B8" s="10">
        <v>2000.0</v>
      </c>
      <c r="C8" s="10" t="s">
        <v>31</v>
      </c>
      <c r="D8" s="10" t="s">
        <v>11</v>
      </c>
    </row>
    <row r="9" ht="15.75" customHeight="1">
      <c r="A9" s="10">
        <v>2001.0</v>
      </c>
      <c r="B9" s="10">
        <v>2000.0</v>
      </c>
      <c r="C9" s="10" t="s">
        <v>29</v>
      </c>
      <c r="D9" s="8" t="s">
        <v>11</v>
      </c>
    </row>
    <row r="10" ht="15.75" customHeight="1">
      <c r="A10" s="8">
        <v>2001.0</v>
      </c>
      <c r="B10" s="8">
        <v>2500.0</v>
      </c>
      <c r="C10" s="8" t="s">
        <v>31</v>
      </c>
      <c r="D10" s="10" t="s">
        <v>11</v>
      </c>
    </row>
    <row r="11" ht="15.75" customHeight="1">
      <c r="A11" s="8">
        <v>2002.0</v>
      </c>
      <c r="B11" s="8">
        <v>4000.0</v>
      </c>
      <c r="C11" s="8" t="s">
        <v>9</v>
      </c>
      <c r="D11" s="8" t="s">
        <v>11</v>
      </c>
    </row>
    <row r="12" ht="15.75" customHeight="1">
      <c r="A12" s="8">
        <v>2003.0</v>
      </c>
      <c r="B12" s="8">
        <v>10000.0</v>
      </c>
      <c r="C12" s="8" t="s">
        <v>9</v>
      </c>
      <c r="D12" s="8" t="s">
        <v>11</v>
      </c>
    </row>
    <row r="13" ht="15.75" customHeight="1">
      <c r="A13" s="8">
        <v>2003.0</v>
      </c>
      <c r="B13" s="8">
        <v>3500.0</v>
      </c>
      <c r="C13" s="8" t="s">
        <v>234</v>
      </c>
      <c r="D13" s="8" t="s">
        <v>20</v>
      </c>
    </row>
    <row r="14" ht="15.75" customHeight="1">
      <c r="A14" s="10">
        <v>2004.0</v>
      </c>
      <c r="B14" s="10">
        <v>5000.0</v>
      </c>
      <c r="C14" s="10" t="s">
        <v>9</v>
      </c>
      <c r="D14" s="10" t="s">
        <v>11</v>
      </c>
    </row>
    <row r="15" ht="15.75" customHeight="1">
      <c r="A15" s="8">
        <v>2005.0</v>
      </c>
      <c r="B15" s="8">
        <v>500.0</v>
      </c>
      <c r="C15" s="8" t="s">
        <v>81</v>
      </c>
      <c r="D15" s="8" t="s">
        <v>11</v>
      </c>
    </row>
    <row r="16" ht="15.75" customHeight="1">
      <c r="A16" s="8">
        <v>2006.0</v>
      </c>
      <c r="B16" s="8">
        <v>50.0</v>
      </c>
      <c r="C16" s="1" t="s">
        <v>235</v>
      </c>
      <c r="D16" s="8" t="s">
        <v>11</v>
      </c>
    </row>
    <row r="17" ht="15.75" customHeight="1">
      <c r="A17" s="8">
        <v>2007.0</v>
      </c>
      <c r="B17" s="8">
        <v>800.0</v>
      </c>
      <c r="C17" s="8" t="s">
        <v>41</v>
      </c>
      <c r="D17" s="8" t="s">
        <v>11</v>
      </c>
    </row>
    <row r="18" ht="15.75" customHeight="1">
      <c r="A18" s="10">
        <v>2007.0</v>
      </c>
      <c r="B18" s="8">
        <v>1000.0</v>
      </c>
      <c r="C18" s="8" t="s">
        <v>81</v>
      </c>
      <c r="D18" s="10" t="s">
        <v>11</v>
      </c>
    </row>
    <row r="19" ht="15.75" customHeight="1">
      <c r="A19" s="10">
        <v>2008.0</v>
      </c>
      <c r="B19" s="10">
        <v>300.0</v>
      </c>
      <c r="C19" s="1" t="s">
        <v>236</v>
      </c>
      <c r="D19" s="10" t="s">
        <v>11</v>
      </c>
    </row>
    <row r="20" ht="15.75" customHeight="1">
      <c r="A20" s="10">
        <v>2009.0</v>
      </c>
      <c r="B20" s="10">
        <v>300.0</v>
      </c>
      <c r="C20" s="10" t="s">
        <v>31</v>
      </c>
      <c r="D20" s="10" t="s">
        <v>11</v>
      </c>
    </row>
    <row r="21" ht="15.75" customHeight="1">
      <c r="A21" s="10">
        <v>2010.0</v>
      </c>
      <c r="B21" s="8">
        <v>50.0</v>
      </c>
      <c r="C21" s="8" t="s">
        <v>31</v>
      </c>
      <c r="D21" s="10" t="s">
        <v>11</v>
      </c>
    </row>
    <row r="22" ht="15.75" customHeight="1">
      <c r="A22" s="8">
        <v>2016.0</v>
      </c>
      <c r="B22" s="8">
        <v>250.0</v>
      </c>
      <c r="C22" s="8" t="s">
        <v>31</v>
      </c>
      <c r="D22" s="8" t="s">
        <v>11</v>
      </c>
    </row>
    <row r="23" ht="15.75" customHeight="1">
      <c r="A23" s="8">
        <v>2017.0</v>
      </c>
      <c r="B23" s="8">
        <v>250.0</v>
      </c>
      <c r="C23" s="8" t="s">
        <v>237</v>
      </c>
      <c r="D23" s="8" t="s">
        <v>21</v>
      </c>
    </row>
    <row r="24" ht="15.75" customHeight="1">
      <c r="A24" s="14">
        <v>2018.0</v>
      </c>
      <c r="B24" s="8">
        <v>200.0</v>
      </c>
      <c r="C24" s="8" t="s">
        <v>237</v>
      </c>
      <c r="D24" s="8" t="s">
        <v>21</v>
      </c>
    </row>
    <row r="25" ht="15.75" customHeight="1">
      <c r="A25" s="14">
        <v>2019.0</v>
      </c>
      <c r="B25" s="10">
        <v>200.0</v>
      </c>
      <c r="C25" s="8" t="s">
        <v>237</v>
      </c>
      <c r="D25" s="8" t="s">
        <v>21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</sheetData>
  <mergeCells count="1">
    <mergeCell ref="E1:M1"/>
  </mergeCells>
  <conditionalFormatting sqref="A2:A23 B2:D25">
    <cfRule type="expression" dxfId="0" priority="1">
      <formula>$D2="policja"</formula>
    </cfRule>
  </conditionalFormatting>
  <conditionalFormatting sqref="A2:A23 B2:D25">
    <cfRule type="expression" dxfId="1" priority="2">
      <formula>$D2="prasa"</formula>
    </cfRule>
  </conditionalFormatting>
  <conditionalFormatting sqref="A2:A23 B2:D25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</row>
    <row r="2" ht="15.75" customHeight="1">
      <c r="A2" s="1">
        <v>1996.0</v>
      </c>
      <c r="B2" s="17">
        <f>IFERROR(AVERAGEIFS(Dane_Revo13!$B$2:$B$82,Dane_Revo13!$A$2:$A$82,$A2,Dane_Revo13!$D$2:$D$82,"prasa"),"")</f>
        <v>3000</v>
      </c>
      <c r="C2" s="17" t="str">
        <f>IFERROR(AVERAGEIFS(Dane_Revo13!$B$2:$B$82,Dane_Revo13!$A$2:$A$82,$A2,Dane_Revo13!$D$2:$D$82,"organizatorzy"),"")</f>
        <v/>
      </c>
      <c r="D2" s="17" t="str">
        <f>IFERROR(AVERAGEIFS(Dane_Revo13!$B$2:$B$82,Dane_Revo13!$A$2:$A$82,$A2,Dane_Revo13!$D$2:$D$82,"policja"),"")</f>
        <v/>
      </c>
      <c r="E2" s="20">
        <f t="shared" ref="E2:E25" si="1">IFERROR((0.5*IF(B2&lt;&gt;"",B2,0) + 0.25*IF(C2&lt;&gt;"",C2,0) + 0.25*IF(D2&lt;&gt;"",D2,0))/(0.5*IF(B2&lt;&gt;"",1,0) + 0.25*IF(C2&lt;&gt;"",1,0) + 0.25*IF(D2&lt;&gt;"",1,0)),"")</f>
        <v>3000</v>
      </c>
      <c r="F2" s="20">
        <f>IFERROR(AVERAGEIFS(Dane_Revo13!$B$2:$B$82,Dane_Revo13!$A$2:$A$82,$A2),"")</f>
        <v>3000</v>
      </c>
      <c r="G2" s="21">
        <f t="shared" ref="G2:G25" si="2">E2-F2</f>
        <v>0</v>
      </c>
    </row>
    <row r="3" ht="15.75" customHeight="1">
      <c r="A3" s="26">
        <v>1997.0</v>
      </c>
      <c r="B3" s="17">
        <f>IFERROR(AVERAGEIFS(Dane_Revo13!$B$2:$B$82,Dane_Revo13!$A$2:$A$82,$A3,Dane_Revo13!$D$2:$D$82,"prasa"),"")</f>
        <v>2000</v>
      </c>
      <c r="C3" s="17" t="str">
        <f>IFERROR(AVERAGEIFS(Dane_Revo13!$B$2:$B$82,Dane_Revo13!$A$2:$A$82,$A3,Dane_Revo13!$D$2:$D$82,"organizatorzy"),"")</f>
        <v/>
      </c>
      <c r="D3" s="17" t="str">
        <f>IFERROR(AVERAGEIFS(Dane_Revo13!$B$2:$B$82,Dane_Revo13!$A$2:$A$82,$A3,Dane_Revo13!$D$2:$D$82,"policja"),"")</f>
        <v/>
      </c>
      <c r="E3" s="20">
        <f t="shared" si="1"/>
        <v>2000</v>
      </c>
      <c r="F3" s="20">
        <f>IFERROR(AVERAGEIFS(Dane_Revo13!$B$2:$B$82,Dane_Revo13!$A$2:$A$82,$A3),"")</f>
        <v>2000</v>
      </c>
      <c r="G3" s="21">
        <f t="shared" si="2"/>
        <v>0</v>
      </c>
    </row>
    <row r="4" ht="15.75" customHeight="1">
      <c r="A4" s="26">
        <v>1998.0</v>
      </c>
      <c r="B4" s="17">
        <f>IFERROR(AVERAGEIFS(Dane_Revo13!$B$2:$B$82,Dane_Revo13!$A$2:$A$82,$A4,Dane_Revo13!$D$2:$D$82,"prasa"),"")</f>
        <v>1750</v>
      </c>
      <c r="C4" s="17" t="str">
        <f>IFERROR(AVERAGEIFS(Dane_Revo13!$B$2:$B$82,Dane_Revo13!$A$2:$A$82,$A4,Dane_Revo13!$D$2:$D$82,"organizatorzy"),"")</f>
        <v/>
      </c>
      <c r="D4" s="17" t="str">
        <f>IFERROR(AVERAGEIFS(Dane_Revo13!$B$2:$B$82,Dane_Revo13!$A$2:$A$82,$A4,Dane_Revo13!$D$2:$D$82,"policja"),"")</f>
        <v/>
      </c>
      <c r="E4" s="20">
        <f t="shared" si="1"/>
        <v>1750</v>
      </c>
      <c r="F4" s="20">
        <f>IFERROR(AVERAGEIFS(Dane_Revo13!$B$2:$B$82,Dane_Revo13!$A$2:$A$82,$A4),"")</f>
        <v>1750</v>
      </c>
      <c r="G4" s="21">
        <f t="shared" si="2"/>
        <v>0</v>
      </c>
    </row>
    <row r="5" ht="15.75" customHeight="1">
      <c r="A5" s="1">
        <v>1999.0</v>
      </c>
      <c r="B5" s="17">
        <f>IFERROR(AVERAGEIFS(Dane_Revo13!$B$2:$B$82,Dane_Revo13!$A$2:$A$82,$A5,Dane_Revo13!$D$2:$D$82,"prasa"),"")</f>
        <v>1500</v>
      </c>
      <c r="C5" s="17" t="str">
        <f>IFERROR(AVERAGEIFS(Dane_Revo13!$B$2:$B$82,Dane_Revo13!$A$2:$A$82,$A5,Dane_Revo13!$D$2:$D$82,"organizatorzy"),"")</f>
        <v/>
      </c>
      <c r="D5" s="17" t="str">
        <f>IFERROR(AVERAGEIFS(Dane_Revo13!$B$2:$B$82,Dane_Revo13!$A$2:$A$82,$A5,Dane_Revo13!$D$2:$D$82,"policja"),"")</f>
        <v/>
      </c>
      <c r="E5" s="20">
        <f t="shared" si="1"/>
        <v>1500</v>
      </c>
      <c r="F5" s="20">
        <f>IFERROR(AVERAGEIFS(Dane_Revo13!$B$2:$B$82,Dane_Revo13!$A$2:$A$82,$A5),"")</f>
        <v>1500</v>
      </c>
      <c r="G5" s="21">
        <f t="shared" si="2"/>
        <v>0</v>
      </c>
    </row>
    <row r="6" ht="15.75" customHeight="1">
      <c r="A6" s="1">
        <v>2000.0</v>
      </c>
      <c r="B6" s="17">
        <f>IFERROR(AVERAGEIFS(Dane_Revo13!$B$2:$B$82,Dane_Revo13!$A$2:$A$82,$A6,Dane_Revo13!$D$2:$D$82,"prasa"),"")</f>
        <v>1266.666667</v>
      </c>
      <c r="C6" s="17" t="str">
        <f>IFERROR(AVERAGEIFS(Dane_Revo13!$B$2:$B$82,Dane_Revo13!$A$2:$A$82,$A6,Dane_Revo13!$D$2:$D$82,"organizatorzy"),"")</f>
        <v/>
      </c>
      <c r="D6" s="17" t="str">
        <f>IFERROR(AVERAGEIFS(Dane_Revo13!$B$2:$B$82,Dane_Revo13!$A$2:$A$82,$A6,Dane_Revo13!$D$2:$D$82,"policja"),"")</f>
        <v/>
      </c>
      <c r="E6" s="20">
        <f t="shared" si="1"/>
        <v>1266.666667</v>
      </c>
      <c r="F6" s="20">
        <f>IFERROR(AVERAGEIFS(Dane_Revo13!$B$2:$B$82,Dane_Revo13!$A$2:$A$82,$A6),"")</f>
        <v>1266.666667</v>
      </c>
      <c r="G6" s="21">
        <f t="shared" si="2"/>
        <v>0</v>
      </c>
    </row>
    <row r="7" ht="15.75" customHeight="1">
      <c r="A7" s="1">
        <v>2001.0</v>
      </c>
      <c r="B7" s="17">
        <f>IFERROR(AVERAGEIFS(Dane_Revo13!$B$2:$B$82,Dane_Revo13!$A$2:$A$82,$A7,Dane_Revo13!$D$2:$D$82,"prasa"),"")</f>
        <v>2250</v>
      </c>
      <c r="C7" s="17" t="str">
        <f>IFERROR(AVERAGEIFS(Dane_Revo13!$B$2:$B$82,Dane_Revo13!$A$2:$A$82,$A7,Dane_Revo13!$D$2:$D$82,"organizatorzy"),"")</f>
        <v/>
      </c>
      <c r="D7" s="17" t="str">
        <f>IFERROR(AVERAGEIFS(Dane_Revo13!$B$2:$B$82,Dane_Revo13!$A$2:$A$82,$A7,Dane_Revo13!$D$2:$D$82,"policja"),"")</f>
        <v/>
      </c>
      <c r="E7" s="20">
        <f t="shared" si="1"/>
        <v>2250</v>
      </c>
      <c r="F7" s="20">
        <f>IFERROR(AVERAGEIFS(Dane_Revo13!$B$2:$B$82,Dane_Revo13!$A$2:$A$82,$A7),"")</f>
        <v>2250</v>
      </c>
      <c r="G7" s="21">
        <f t="shared" si="2"/>
        <v>0</v>
      </c>
    </row>
    <row r="8" ht="15.75" customHeight="1">
      <c r="A8" s="26">
        <v>2002.0</v>
      </c>
      <c r="B8" s="17">
        <f>IFERROR(AVERAGEIFS(Dane_Revo13!$B$2:$B$82,Dane_Revo13!$A$2:$A$82,$A8,Dane_Revo13!$D$2:$D$82,"prasa"),"")</f>
        <v>4000</v>
      </c>
      <c r="C8" s="17" t="str">
        <f>IFERROR(AVERAGEIFS(Dane_Revo13!$B$2:$B$82,Dane_Revo13!$A$2:$A$82,$A8,Dane_Revo13!$D$2:$D$82,"organizatorzy"),"")</f>
        <v/>
      </c>
      <c r="D8" s="17" t="str">
        <f>IFERROR(AVERAGEIFS(Dane_Revo13!$B$2:$B$82,Dane_Revo13!$A$2:$A$82,$A8,Dane_Revo13!$D$2:$D$82,"policja"),"")</f>
        <v/>
      </c>
      <c r="E8" s="20">
        <f t="shared" si="1"/>
        <v>4000</v>
      </c>
      <c r="F8" s="20">
        <f>IFERROR(AVERAGEIFS(Dane_Revo13!$B$2:$B$82,Dane_Revo13!$A$2:$A$82,$A8),"")</f>
        <v>4000</v>
      </c>
      <c r="G8" s="21">
        <f t="shared" si="2"/>
        <v>0</v>
      </c>
    </row>
    <row r="9" ht="15.75" customHeight="1">
      <c r="A9" s="26">
        <v>2003.0</v>
      </c>
      <c r="B9" s="17">
        <f>IFERROR(AVERAGEIFS(Dane_Revo13!$B$2:$B$82,Dane_Revo13!$A$2:$A$82,$A9,Dane_Revo13!$D$2:$D$82,"prasa"),"")</f>
        <v>10000</v>
      </c>
      <c r="C9" s="17" t="str">
        <f>IFERROR(AVERAGEIFS(Dane_Revo13!$B$2:$B$82,Dane_Revo13!$A$2:$A$82,$A9,Dane_Revo13!$D$2:$D$82,"organizatorzy"),"")</f>
        <v/>
      </c>
      <c r="D9" s="17">
        <f>IFERROR(AVERAGEIFS(Dane_Revo13!$B$2:$B$82,Dane_Revo13!$A$2:$A$82,$A9,Dane_Revo13!$D$2:$D$82,"policja"),"")</f>
        <v>3500</v>
      </c>
      <c r="E9" s="20">
        <f t="shared" si="1"/>
        <v>7833.333333</v>
      </c>
      <c r="F9" s="20">
        <f>IFERROR(AVERAGEIFS(Dane_Revo13!$B$2:$B$82,Dane_Revo13!$A$2:$A$82,$A9),"")</f>
        <v>6750</v>
      </c>
      <c r="G9" s="21">
        <f t="shared" si="2"/>
        <v>1083.333333</v>
      </c>
    </row>
    <row r="10" ht="15.75" customHeight="1">
      <c r="A10" s="1">
        <v>2004.0</v>
      </c>
      <c r="B10" s="17">
        <f>IFERROR(AVERAGEIFS(Dane_Revo13!$B$2:$B$82,Dane_Revo13!$A$2:$A$82,$A10,Dane_Revo13!$D$2:$D$82,"prasa"),"")</f>
        <v>5000</v>
      </c>
      <c r="C10" s="17" t="str">
        <f>IFERROR(AVERAGEIFS(Dane_Revo13!$B$2:$B$82,Dane_Revo13!$A$2:$A$82,$A10,Dane_Revo13!$D$2:$D$82,"organizatorzy"),"")</f>
        <v/>
      </c>
      <c r="D10" s="17" t="str">
        <f>IFERROR(AVERAGEIFS(Dane_Revo13!$B$2:$B$82,Dane_Revo13!$A$2:$A$82,$A10,Dane_Revo13!$D$2:$D$82,"policja"),"")</f>
        <v/>
      </c>
      <c r="E10" s="20">
        <f t="shared" si="1"/>
        <v>5000</v>
      </c>
      <c r="F10" s="20">
        <f>IFERROR(AVERAGEIFS(Dane_Revo13!$B$2:$B$82,Dane_Revo13!$A$2:$A$82,$A10),"")</f>
        <v>5000</v>
      </c>
      <c r="G10" s="21">
        <f t="shared" si="2"/>
        <v>0</v>
      </c>
    </row>
    <row r="11" ht="15.75" customHeight="1">
      <c r="A11" s="1">
        <v>2005.0</v>
      </c>
      <c r="B11" s="17">
        <f>IFERROR(AVERAGEIFS(Dane_Revo13!$B$2:$B$82,Dane_Revo13!$A$2:$A$82,$A11,Dane_Revo13!$D$2:$D$82,"prasa"),"")</f>
        <v>500</v>
      </c>
      <c r="C11" s="17" t="str">
        <f>IFERROR(AVERAGEIFS(Dane_Revo13!$B$2:$B$82,Dane_Revo13!$A$2:$A$82,$A11,Dane_Revo13!$D$2:$D$82,"organizatorzy"),"")</f>
        <v/>
      </c>
      <c r="D11" s="17" t="str">
        <f>IFERROR(AVERAGEIFS(Dane_Revo13!$B$2:$B$82,Dane_Revo13!$A$2:$A$82,$A11,Dane_Revo13!$D$2:$D$82,"policja"),"")</f>
        <v/>
      </c>
      <c r="E11" s="20">
        <f t="shared" si="1"/>
        <v>500</v>
      </c>
      <c r="F11" s="20">
        <f>IFERROR(AVERAGEIFS(Dane_Revo13!$B$2:$B$82,Dane_Revo13!$A$2:$A$82,$A11),"")</f>
        <v>500</v>
      </c>
      <c r="G11" s="21">
        <f t="shared" si="2"/>
        <v>0</v>
      </c>
    </row>
    <row r="12" ht="15.75" customHeight="1">
      <c r="A12" s="1">
        <v>2006.0</v>
      </c>
      <c r="B12" s="17">
        <f>IFERROR(AVERAGEIFS(Dane_Revo13!$B$2:$B$82,Dane_Revo13!$A$2:$A$82,$A12,Dane_Revo13!$D$2:$D$82,"prasa"),"")</f>
        <v>50</v>
      </c>
      <c r="C12" s="17" t="str">
        <f>IFERROR(AVERAGEIFS(Dane_Revo13!$B$2:$B$82,Dane_Revo13!$A$2:$A$82,$A12,Dane_Revo13!$D$2:$D$82,"organizatorzy"),"")</f>
        <v/>
      </c>
      <c r="D12" s="17" t="str">
        <f>IFERROR(AVERAGEIFS(Dane_Revo13!$B$2:$B$82,Dane_Revo13!$A$2:$A$82,$A12,Dane_Revo13!$D$2:$D$82,"policja"),"")</f>
        <v/>
      </c>
      <c r="E12" s="20">
        <f t="shared" si="1"/>
        <v>50</v>
      </c>
      <c r="F12" s="20">
        <f>IFERROR(AVERAGEIFS(Dane_Revo13!$B$2:$B$82,Dane_Revo13!$A$2:$A$82,$A12),"")</f>
        <v>50</v>
      </c>
      <c r="G12" s="21">
        <f t="shared" si="2"/>
        <v>0</v>
      </c>
    </row>
    <row r="13" ht="15.75" customHeight="1">
      <c r="A13" s="26">
        <v>2007.0</v>
      </c>
      <c r="B13" s="17">
        <f>IFERROR(AVERAGEIFS(Dane_Revo13!$B$2:$B$82,Dane_Revo13!$A$2:$A$82,$A13,Dane_Revo13!$D$2:$D$82,"prasa"),"")</f>
        <v>900</v>
      </c>
      <c r="C13" s="17" t="str">
        <f>IFERROR(AVERAGEIFS(Dane_Revo13!$B$2:$B$82,Dane_Revo13!$A$2:$A$82,$A13,Dane_Revo13!$D$2:$D$82,"organizatorzy"),"")</f>
        <v/>
      </c>
      <c r="D13" s="17" t="str">
        <f>IFERROR(AVERAGEIFS(Dane_Revo13!$B$2:$B$82,Dane_Revo13!$A$2:$A$82,$A13,Dane_Revo13!$D$2:$D$82,"policja"),"")</f>
        <v/>
      </c>
      <c r="E13" s="20">
        <f t="shared" si="1"/>
        <v>900</v>
      </c>
      <c r="F13" s="20">
        <f>IFERROR(AVERAGEIFS(Dane_Revo13!$B$2:$B$82,Dane_Revo13!$A$2:$A$82,$A13),"")</f>
        <v>900</v>
      </c>
      <c r="G13" s="21">
        <f t="shared" si="2"/>
        <v>0</v>
      </c>
    </row>
    <row r="14" ht="15.75" customHeight="1">
      <c r="A14" s="26">
        <v>2008.0</v>
      </c>
      <c r="B14" s="17">
        <f>IFERROR(AVERAGEIFS(Dane_Revo13!$B$2:$B$82,Dane_Revo13!$A$2:$A$82,$A14,Dane_Revo13!$D$2:$D$82,"prasa"),"")</f>
        <v>300</v>
      </c>
      <c r="C14" s="17" t="str">
        <f>IFERROR(AVERAGEIFS(Dane_Revo13!$B$2:$B$82,Dane_Revo13!$A$2:$A$82,$A14,Dane_Revo13!$D$2:$D$82,"organizatorzy"),"")</f>
        <v/>
      </c>
      <c r="D14" s="17" t="str">
        <f>IFERROR(AVERAGEIFS(Dane_Revo13!$B$2:$B$82,Dane_Revo13!$A$2:$A$82,$A14,Dane_Revo13!$D$2:$D$82,"policja"),"")</f>
        <v/>
      </c>
      <c r="E14" s="20">
        <f t="shared" si="1"/>
        <v>300</v>
      </c>
      <c r="F14" s="20">
        <f>IFERROR(AVERAGEIFS(Dane_Revo13!$B$2:$B$82,Dane_Revo13!$A$2:$A$82,$A14),"")</f>
        <v>300</v>
      </c>
      <c r="G14" s="21">
        <f t="shared" si="2"/>
        <v>0</v>
      </c>
    </row>
    <row r="15" ht="15.75" customHeight="1">
      <c r="A15" s="1">
        <v>2009.0</v>
      </c>
      <c r="B15" s="17">
        <f>IFERROR(AVERAGEIFS(Dane_Revo13!$B$2:$B$82,Dane_Revo13!$A$2:$A$82,$A15,Dane_Revo13!$D$2:$D$82,"prasa"),"")</f>
        <v>300</v>
      </c>
      <c r="C15" s="17" t="str">
        <f>IFERROR(AVERAGEIFS(Dane_Revo13!$B$2:$B$82,Dane_Revo13!$A$2:$A$82,$A15,Dane_Revo13!$D$2:$D$82,"organizatorzy"),"")</f>
        <v/>
      </c>
      <c r="D15" s="17" t="str">
        <f>IFERROR(AVERAGEIFS(Dane_Revo13!$B$2:$B$82,Dane_Revo13!$A$2:$A$82,$A15,Dane_Revo13!$D$2:$D$82,"policja"),"")</f>
        <v/>
      </c>
      <c r="E15" s="20">
        <f t="shared" si="1"/>
        <v>300</v>
      </c>
      <c r="F15" s="20">
        <f>IFERROR(AVERAGEIFS(Dane_Revo13!$B$2:$B$82,Dane_Revo13!$A$2:$A$82,$A15),"")</f>
        <v>300</v>
      </c>
      <c r="G15" s="21">
        <f t="shared" si="2"/>
        <v>0</v>
      </c>
    </row>
    <row r="16" ht="15.75" customHeight="1">
      <c r="A16" s="1">
        <v>2010.0</v>
      </c>
      <c r="B16" s="17">
        <f>IFERROR(AVERAGEIFS(Dane_Revo13!$B$2:$B$82,Dane_Revo13!$A$2:$A$82,$A16,Dane_Revo13!$D$2:$D$82,"prasa"),"")</f>
        <v>50</v>
      </c>
      <c r="C16" s="17" t="str">
        <f>IFERROR(AVERAGEIFS(Dane_Revo13!$B$2:$B$82,Dane_Revo13!$A$2:$A$82,$A16,Dane_Revo13!$D$2:$D$82,"organizatorzy"),"")</f>
        <v/>
      </c>
      <c r="D16" s="17" t="str">
        <f>IFERROR(AVERAGEIFS(Dane_Revo13!$B$2:$B$82,Dane_Revo13!$A$2:$A$82,$A16,Dane_Revo13!$D$2:$D$82,"policja"),"")</f>
        <v/>
      </c>
      <c r="E16" s="20">
        <f t="shared" si="1"/>
        <v>50</v>
      </c>
      <c r="F16" s="20">
        <f>IFERROR(AVERAGEIFS(Dane_Revo13!$B$2:$B$82,Dane_Revo13!$A$2:$A$82,$A16),"")</f>
        <v>50</v>
      </c>
      <c r="G16" s="21">
        <f t="shared" si="2"/>
        <v>0</v>
      </c>
    </row>
    <row r="17" ht="15.75" customHeight="1">
      <c r="A17" s="1">
        <v>2011.0</v>
      </c>
      <c r="B17" s="17" t="str">
        <f>IFERROR(AVERAGEIFS(Dane_Revo13!$B$2:$B$82,Dane_Revo13!$A$2:$A$82,$A17,Dane_Revo13!$D$2:$D$82,"prasa"),"")</f>
        <v/>
      </c>
      <c r="C17" s="17" t="str">
        <f>IFERROR(AVERAGEIFS(Dane_Revo13!$B$2:$B$82,Dane_Revo13!$A$2:$A$82,$A17,Dane_Revo13!$D$2:$D$82,"organizatorzy"),"")</f>
        <v/>
      </c>
      <c r="D17" s="17" t="str">
        <f>IFERROR(AVERAGEIFS(Dane_Revo13!$B$2:$B$82,Dane_Revo13!$A$2:$A$82,$A17,Dane_Revo13!$D$2:$D$82,"policja"),"")</f>
        <v/>
      </c>
      <c r="E17" s="20" t="str">
        <f t="shared" si="1"/>
        <v/>
      </c>
      <c r="F17" s="20" t="str">
        <f>IFERROR(AVERAGEIFS(Dane_Revo13!$B$2:$B$82,Dane_Revo13!$A$2:$A$82,$A17),"")</f>
        <v/>
      </c>
      <c r="G17" s="21">
        <f t="shared" si="2"/>
        <v>0</v>
      </c>
    </row>
    <row r="18" ht="15.75" customHeight="1">
      <c r="A18" s="26">
        <v>2012.0</v>
      </c>
      <c r="B18" s="17" t="str">
        <f>IFERROR(AVERAGEIFS(Dane_Revo13!$B$2:$B$82,Dane_Revo13!$A$2:$A$82,$A18,Dane_Revo13!$D$2:$D$82,"prasa"),"")</f>
        <v/>
      </c>
      <c r="C18" s="17" t="str">
        <f>IFERROR(AVERAGEIFS(Dane_Revo13!$B$2:$B$82,Dane_Revo13!$A$2:$A$82,$A18,Dane_Revo13!$D$2:$D$82,"organizatorzy"),"")</f>
        <v/>
      </c>
      <c r="D18" s="17" t="str">
        <f>IFERROR(AVERAGEIFS(Dane_Revo13!$B$2:$B$82,Dane_Revo13!$A$2:$A$82,$A18,Dane_Revo13!$D$2:$D$82,"policja"),"")</f>
        <v/>
      </c>
      <c r="E18" s="20" t="str">
        <f t="shared" si="1"/>
        <v/>
      </c>
      <c r="F18" s="20" t="str">
        <f>IFERROR(AVERAGEIFS(Dane_Revo13!$B$2:$B$82,Dane_Revo13!$A$2:$A$82,$A18),"")</f>
        <v/>
      </c>
      <c r="G18" s="21">
        <f t="shared" si="2"/>
        <v>0</v>
      </c>
    </row>
    <row r="19" ht="15.75" customHeight="1">
      <c r="A19" s="26">
        <v>2013.0</v>
      </c>
      <c r="B19" s="17" t="str">
        <f>IFERROR(AVERAGEIFS(Dane_Revo13!$B$2:$B$82,Dane_Revo13!$A$2:$A$82,$A19,Dane_Revo13!$D$2:$D$82,"prasa"),"")</f>
        <v/>
      </c>
      <c r="C19" s="17" t="str">
        <f>IFERROR(AVERAGEIFS(Dane_Revo13!$B$2:$B$82,Dane_Revo13!$A$2:$A$82,$A19,Dane_Revo13!$D$2:$D$82,"organizatorzy"),"")</f>
        <v/>
      </c>
      <c r="D19" s="17" t="str">
        <f>IFERROR(AVERAGEIFS(Dane_Revo13!$B$2:$B$82,Dane_Revo13!$A$2:$A$82,$A19,Dane_Revo13!$D$2:$D$82,"policja"),"")</f>
        <v/>
      </c>
      <c r="E19" s="20" t="str">
        <f t="shared" si="1"/>
        <v/>
      </c>
      <c r="F19" s="20" t="str">
        <f>IFERROR(AVERAGEIFS(Dane_Revo13!$B$2:$B$82,Dane_Revo13!$A$2:$A$82,$A19),"")</f>
        <v/>
      </c>
      <c r="G19" s="21">
        <f t="shared" si="2"/>
        <v>0</v>
      </c>
    </row>
    <row r="20" ht="15.75" customHeight="1">
      <c r="A20" s="1">
        <v>2014.0</v>
      </c>
      <c r="B20" s="17" t="str">
        <f>IFERROR(AVERAGEIFS(Dane_Revo13!$B$2:$B$82,Dane_Revo13!$A$2:$A$82,$A20,Dane_Revo13!$D$2:$D$82,"prasa"),"")</f>
        <v/>
      </c>
      <c r="C20" s="17" t="str">
        <f>IFERROR(AVERAGEIFS(Dane_Revo13!$B$2:$B$82,Dane_Revo13!$A$2:$A$82,$A20,Dane_Revo13!$D$2:$D$82,"organizatorzy"),"")</f>
        <v/>
      </c>
      <c r="D20" s="17" t="str">
        <f>IFERROR(AVERAGEIFS(Dane_Revo13!$B$2:$B$82,Dane_Revo13!$A$2:$A$82,$A20,Dane_Revo13!$D$2:$D$82,"policja"),"")</f>
        <v/>
      </c>
      <c r="E20" s="20" t="str">
        <f t="shared" si="1"/>
        <v/>
      </c>
      <c r="F20" s="20" t="str">
        <f>IFERROR(AVERAGEIFS(Dane_Revo13!$B$2:$B$82,Dane_Revo13!$A$2:$A$82,$A20),"")</f>
        <v/>
      </c>
      <c r="G20" s="21">
        <f t="shared" si="2"/>
        <v>0</v>
      </c>
    </row>
    <row r="21" ht="15.75" customHeight="1">
      <c r="A21" s="1">
        <v>2015.0</v>
      </c>
      <c r="B21" s="17" t="str">
        <f>IFERROR(AVERAGEIFS(Dane_Revo13!$B$2:$B$82,Dane_Revo13!$A$2:$A$82,$A21,Dane_Revo13!$D$2:$D$82,"prasa"),"")</f>
        <v/>
      </c>
      <c r="C21" s="17" t="str">
        <f>IFERROR(AVERAGEIFS(Dane_Revo13!$B$2:$B$82,Dane_Revo13!$A$2:$A$82,$A21,Dane_Revo13!$D$2:$D$82,"organizatorzy"),"")</f>
        <v/>
      </c>
      <c r="D21" s="17" t="str">
        <f>IFERROR(AVERAGEIFS(Dane_Revo13!$B$2:$B$82,Dane_Revo13!$A$2:$A$82,$A21,Dane_Revo13!$D$2:$D$82,"policja"),"")</f>
        <v/>
      </c>
      <c r="E21" s="20" t="str">
        <f t="shared" si="1"/>
        <v/>
      </c>
      <c r="F21" s="20" t="str">
        <f>IFERROR(AVERAGEIFS(Dane_Revo13!$B$2:$B$82,Dane_Revo13!$A$2:$A$82,$A21),"")</f>
        <v/>
      </c>
      <c r="G21" s="21">
        <f t="shared" si="2"/>
        <v>0</v>
      </c>
    </row>
    <row r="22" ht="15.75" customHeight="1">
      <c r="A22" s="1">
        <v>2016.0</v>
      </c>
      <c r="B22" s="17">
        <f>IFERROR(AVERAGEIFS(Dane_Revo13!$B$2:$B$82,Dane_Revo13!$A$2:$A$82,$A22,Dane_Revo13!$D$2:$D$82,"prasa"),"")</f>
        <v>250</v>
      </c>
      <c r="C22" s="17" t="str">
        <f>IFERROR(AVERAGEIFS(Dane_Revo13!$B$2:$B$82,Dane_Revo13!$A$2:$A$82,$A22,Dane_Revo13!$D$2:$D$82,"organizatorzy"),"")</f>
        <v/>
      </c>
      <c r="D22" s="17" t="str">
        <f>IFERROR(AVERAGEIFS(Dane_Revo13!$B$2:$B$82,Dane_Revo13!$A$2:$A$82,$A22,Dane_Revo13!$D$2:$D$82,"policja"),"")</f>
        <v/>
      </c>
      <c r="E22" s="20">
        <f t="shared" si="1"/>
        <v>250</v>
      </c>
      <c r="F22" s="20">
        <f>IFERROR(AVERAGEIFS(Dane_Revo13!$B$2:$B$82,Dane_Revo13!$A$2:$A$82,$A22),"")</f>
        <v>250</v>
      </c>
      <c r="G22" s="21">
        <f t="shared" si="2"/>
        <v>0</v>
      </c>
    </row>
    <row r="23" ht="15.75" customHeight="1">
      <c r="A23" s="26">
        <v>2017.0</v>
      </c>
      <c r="B23" s="17" t="str">
        <f>IFERROR(AVERAGEIFS(Dane_Revo13!$B$2:$B$82,Dane_Revo13!$A$2:$A$82,$A23,Dane_Revo13!$D$2:$D$82,"prasa"),"")</f>
        <v/>
      </c>
      <c r="C23" s="17">
        <f>IFERROR(AVERAGEIFS(Dane_Revo13!$B$2:$B$82,Dane_Revo13!$A$2:$A$82,$A23,Dane_Revo13!$D$2:$D$82,"organizatorzy"),"")</f>
        <v>250</v>
      </c>
      <c r="D23" s="17" t="str">
        <f>IFERROR(AVERAGEIFS(Dane_Revo13!$B$2:$B$82,Dane_Revo13!$A$2:$A$82,$A23,Dane_Revo13!$D$2:$D$82,"policja"),"")</f>
        <v/>
      </c>
      <c r="E23" s="20">
        <f t="shared" si="1"/>
        <v>250</v>
      </c>
      <c r="F23" s="20">
        <f>IFERROR(AVERAGEIFS(Dane_Revo13!$B$2:$B$82,Dane_Revo13!$A$2:$A$82,$A23),"")</f>
        <v>250</v>
      </c>
      <c r="G23" s="21">
        <f t="shared" si="2"/>
        <v>0</v>
      </c>
    </row>
    <row r="24" ht="15.75" customHeight="1">
      <c r="A24" s="26">
        <v>2018.0</v>
      </c>
      <c r="B24" s="17" t="str">
        <f>IFERROR(AVERAGEIFS(Dane_Revo13!$B$2:$B$82,Dane_Revo13!$A$2:$A$82,$A24,Dane_Revo13!$D$2:$D$82,"prasa"),"")</f>
        <v/>
      </c>
      <c r="C24" s="17">
        <f>IFERROR(AVERAGEIFS(Dane_Revo13!$B$2:$B$82,Dane_Revo13!$A$2:$A$82,$A24,Dane_Revo13!$D$2:$D$82,"organizatorzy"),"")</f>
        <v>200</v>
      </c>
      <c r="D24" s="17" t="str">
        <f>IFERROR(AVERAGEIFS(Dane_Revo13!$B$2:$B$82,Dane_Revo13!$A$2:$A$82,$A24,Dane_Revo13!$D$2:$D$82,"policja"),"")</f>
        <v/>
      </c>
      <c r="E24" s="20">
        <f t="shared" si="1"/>
        <v>200</v>
      </c>
      <c r="F24" s="20">
        <f>IFERROR(AVERAGEIFS(Dane_Revo13!$B$2:$B$82,Dane_Revo13!$A$2:$A$82,$A24),"")</f>
        <v>200</v>
      </c>
      <c r="G24" s="21">
        <f t="shared" si="2"/>
        <v>0</v>
      </c>
    </row>
    <row r="25" ht="15.75" customHeight="1">
      <c r="A25" s="1">
        <v>2019.0</v>
      </c>
      <c r="B25" s="17" t="str">
        <f>IFERROR(AVERAGEIFS(Dane_Revo13!$B$2:$B$82,Dane_Revo13!$A$2:$A$82,$A25,Dane_Revo13!$D$2:$D$82,"prasa"),"")</f>
        <v/>
      </c>
      <c r="C25" s="17">
        <f>IFERROR(AVERAGEIFS(Dane_Revo13!$B$2:$B$82,Dane_Revo13!$A$2:$A$82,$A25,Dane_Revo13!$D$2:$D$82,"organizatorzy"),"")</f>
        <v>200</v>
      </c>
      <c r="D25" s="17" t="str">
        <f>IFERROR(AVERAGEIFS(Dane_Revo13!$B$2:$B$82,Dane_Revo13!$A$2:$A$82,$A25,Dane_Revo13!$D$2:$D$82,"policja"),"")</f>
        <v/>
      </c>
      <c r="E25" s="20">
        <f t="shared" si="1"/>
        <v>200</v>
      </c>
      <c r="F25" s="20">
        <f>IFERROR(AVERAGEIFS(Dane_Revo13!$B$2:$B$82,Dane_Revo13!$A$2:$A$82,$A25),"")</f>
        <v>200</v>
      </c>
      <c r="G25" s="21">
        <f t="shared" si="2"/>
        <v>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58.0"/>
    <col customWidth="1" min="4" max="4" width="16.0"/>
    <col customWidth="1" min="5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4" t="s">
        <v>5</v>
      </c>
    </row>
    <row r="2" ht="15.75" customHeight="1">
      <c r="A2" s="8">
        <v>2018.0</v>
      </c>
      <c r="B2" s="8">
        <v>1500.0</v>
      </c>
      <c r="C2" s="8" t="s">
        <v>238</v>
      </c>
      <c r="D2" s="8" t="s">
        <v>11</v>
      </c>
    </row>
    <row r="3" ht="15.75" customHeight="1">
      <c r="A3" s="8">
        <v>2018.0</v>
      </c>
      <c r="B3" s="8">
        <v>5000.0</v>
      </c>
      <c r="C3" s="8" t="s">
        <v>239</v>
      </c>
      <c r="D3" s="8" t="s">
        <v>21</v>
      </c>
    </row>
    <row r="4" ht="15.75" customHeight="1">
      <c r="A4" s="31">
        <v>2019.0</v>
      </c>
      <c r="B4" s="8">
        <v>2500.0</v>
      </c>
      <c r="C4" s="8" t="s">
        <v>240</v>
      </c>
      <c r="D4" s="8" t="s">
        <v>11</v>
      </c>
    </row>
    <row r="5" ht="15.75" customHeight="1">
      <c r="A5" s="32">
        <v>2019.0</v>
      </c>
      <c r="B5" s="32">
        <v>4500.0</v>
      </c>
      <c r="C5" s="33" t="s">
        <v>241</v>
      </c>
      <c r="D5" s="33" t="s">
        <v>11</v>
      </c>
    </row>
    <row r="6" ht="15.75" customHeight="1">
      <c r="A6" s="14">
        <v>2019.0</v>
      </c>
      <c r="B6" s="8">
        <v>7500.0</v>
      </c>
      <c r="C6" s="8" t="s">
        <v>242</v>
      </c>
      <c r="D6" s="8" t="s">
        <v>21</v>
      </c>
    </row>
    <row r="7" ht="15.75" customHeight="1">
      <c r="A7" s="14">
        <v>2019.0</v>
      </c>
      <c r="B7" s="10">
        <v>3000.0</v>
      </c>
      <c r="C7" s="8" t="s">
        <v>243</v>
      </c>
      <c r="D7" s="8" t="s">
        <v>11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</sheetData>
  <mergeCells count="1">
    <mergeCell ref="E1:M1"/>
  </mergeCells>
  <conditionalFormatting sqref="A2:A3 B2:D7">
    <cfRule type="expression" dxfId="0" priority="1">
      <formula>$D2="policja"</formula>
    </cfRule>
  </conditionalFormatting>
  <conditionalFormatting sqref="A2:A3 B2:D7">
    <cfRule type="expression" dxfId="1" priority="2">
      <formula>$D2="prasa"</formula>
    </cfRule>
  </conditionalFormatting>
  <conditionalFormatting sqref="A2:A3 B2:D7">
    <cfRule type="expression" dxfId="2" priority="3">
      <formula>$D2="organizatorzy"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2" t="s">
        <v>1</v>
      </c>
      <c r="B1" s="3" t="s">
        <v>6</v>
      </c>
      <c r="C1" s="5" t="s">
        <v>7</v>
      </c>
      <c r="D1" s="7" t="s">
        <v>8</v>
      </c>
      <c r="E1" s="9" t="s">
        <v>10</v>
      </c>
      <c r="F1" s="1" t="s">
        <v>13</v>
      </c>
      <c r="G1" s="1" t="s">
        <v>16</v>
      </c>
    </row>
    <row r="2" ht="15.75" customHeight="1">
      <c r="A2" s="1">
        <v>1996.0</v>
      </c>
      <c r="B2" s="17" t="str">
        <f>IFERROR(AVERAGEIFS(Dane_MyGruni!$B$2:$B$64,Dane_MyGruni!$A$2:$A$64,$A2,Dane_MyGruni!$D$2:$D$64,"prasa"),"")</f>
        <v/>
      </c>
      <c r="C2" s="17" t="str">
        <f>IFERROR(AVERAGEIFS(Dane_MyGruni!$B$2:$B$64,Dane_MyGruni!$A$2:$A$64,$A2,Dane_MyGruni!$D$2:$D$64,"organizatorzy"),"")</f>
        <v/>
      </c>
      <c r="D2" s="17" t="str">
        <f>IFERROR(AVERAGEIFS(Dane_MyGruni!$B$2:$B$64,Dane_MyGruni!$A$2:$A$64,$A2,Dane_MyGruni!$D$2:$D$64,"policja"),"")</f>
        <v/>
      </c>
      <c r="E2" s="20" t="str">
        <f t="shared" ref="E2:E25" si="1">IFERROR((0.5*IF(B2&lt;&gt;"",B2,0) + 0.25*IF(C2&lt;&gt;"",C2,0) + 0.25*IF(D2&lt;&gt;"",D2,0))/(0.5*IF(B2&lt;&gt;"",1,0) + 0.25*IF(C2&lt;&gt;"",1,0) + 0.25*IF(D2&lt;&gt;"",1,0)),"")</f>
        <v/>
      </c>
      <c r="F2" s="20" t="str">
        <f>IFERROR(AVERAGEIFS(Dane_MyGruni!$B$2:$B$64,Dane_MyGruni!$A$2:$A$64,$A2),"")</f>
        <v/>
      </c>
      <c r="G2" s="21">
        <f t="shared" ref="G2:G25" si="2">E2-F2</f>
        <v>0</v>
      </c>
    </row>
    <row r="3" ht="15.75" customHeight="1">
      <c r="A3" s="26">
        <v>1997.0</v>
      </c>
      <c r="B3" s="17" t="str">
        <f>IFERROR(AVERAGEIFS(Dane_MyGruni!$B$2:$B$64,Dane_MyGruni!$A$2:$A$64,$A3,Dane_MyGruni!$D$2:$D$64,"prasa"),"")</f>
        <v/>
      </c>
      <c r="C3" s="17" t="str">
        <f>IFERROR(AVERAGEIFS(Dane_MyGruni!$B$2:$B$64,Dane_MyGruni!$A$2:$A$64,$A3,Dane_MyGruni!$D$2:$D$64,"organizatorzy"),"")</f>
        <v/>
      </c>
      <c r="D3" s="17" t="str">
        <f>IFERROR(AVERAGEIFS(Dane_MyGruni!$B$2:$B$64,Dane_MyGruni!$A$2:$A$64,$A3,Dane_MyGruni!$D$2:$D$64,"policja"),"")</f>
        <v/>
      </c>
      <c r="E3" s="20" t="str">
        <f t="shared" si="1"/>
        <v/>
      </c>
      <c r="F3" s="20" t="str">
        <f>IFERROR(AVERAGEIFS(Dane_MyGruni!$B$2:$B$64,Dane_MyGruni!$A$2:$A$64,$A3),"")</f>
        <v/>
      </c>
      <c r="G3" s="21">
        <f t="shared" si="2"/>
        <v>0</v>
      </c>
    </row>
    <row r="4" ht="15.75" customHeight="1">
      <c r="A4" s="26">
        <v>1998.0</v>
      </c>
      <c r="B4" s="17" t="str">
        <f>IFERROR(AVERAGEIFS(Dane_MyGruni!$B$2:$B$64,Dane_MyGruni!$A$2:$A$64,$A4,Dane_MyGruni!$D$2:$D$64,"prasa"),"")</f>
        <v/>
      </c>
      <c r="C4" s="17" t="str">
        <f>IFERROR(AVERAGEIFS(Dane_MyGruni!$B$2:$B$64,Dane_MyGruni!$A$2:$A$64,$A4,Dane_MyGruni!$D$2:$D$64,"organizatorzy"),"")</f>
        <v/>
      </c>
      <c r="D4" s="17" t="str">
        <f>IFERROR(AVERAGEIFS(Dane_MyGruni!$B$2:$B$64,Dane_MyGruni!$A$2:$A$64,$A4,Dane_MyGruni!$D$2:$D$64,"policja"),"")</f>
        <v/>
      </c>
      <c r="E4" s="20" t="str">
        <f t="shared" si="1"/>
        <v/>
      </c>
      <c r="F4" s="20" t="str">
        <f>IFERROR(AVERAGEIFS(Dane_MyGruni!$B$2:$B$64,Dane_MyGruni!$A$2:$A$64,$A4),"")</f>
        <v/>
      </c>
      <c r="G4" s="21">
        <f t="shared" si="2"/>
        <v>0</v>
      </c>
    </row>
    <row r="5" ht="15.75" customHeight="1">
      <c r="A5" s="1">
        <v>1999.0</v>
      </c>
      <c r="B5" s="17" t="str">
        <f>IFERROR(AVERAGEIFS(Dane_MyGruni!$B$2:$B$64,Dane_MyGruni!$A$2:$A$64,$A5,Dane_MyGruni!$D$2:$D$64,"prasa"),"")</f>
        <v/>
      </c>
      <c r="C5" s="17" t="str">
        <f>IFERROR(AVERAGEIFS(Dane_MyGruni!$B$2:$B$64,Dane_MyGruni!$A$2:$A$64,$A5,Dane_MyGruni!$D$2:$D$64,"organizatorzy"),"")</f>
        <v/>
      </c>
      <c r="D5" s="17" t="str">
        <f>IFERROR(AVERAGEIFS(Dane_MyGruni!$B$2:$B$64,Dane_MyGruni!$A$2:$A$64,$A5,Dane_MyGruni!$D$2:$D$64,"policja"),"")</f>
        <v/>
      </c>
      <c r="E5" s="20" t="str">
        <f t="shared" si="1"/>
        <v/>
      </c>
      <c r="F5" s="20" t="str">
        <f>IFERROR(AVERAGEIFS(Dane_MyGruni!$B$2:$B$64,Dane_MyGruni!$A$2:$A$64,$A5),"")</f>
        <v/>
      </c>
      <c r="G5" s="21">
        <f t="shared" si="2"/>
        <v>0</v>
      </c>
    </row>
    <row r="6" ht="15.75" customHeight="1">
      <c r="A6" s="1">
        <v>2000.0</v>
      </c>
      <c r="B6" s="17" t="str">
        <f>IFERROR(AVERAGEIFS(Dane_MyGruni!$B$2:$B$64,Dane_MyGruni!$A$2:$A$64,$A6,Dane_MyGruni!$D$2:$D$64,"prasa"),"")</f>
        <v/>
      </c>
      <c r="C6" s="17" t="str">
        <f>IFERROR(AVERAGEIFS(Dane_MyGruni!$B$2:$B$64,Dane_MyGruni!$A$2:$A$64,$A6,Dane_MyGruni!$D$2:$D$64,"organizatorzy"),"")</f>
        <v/>
      </c>
      <c r="D6" s="17" t="str">
        <f>IFERROR(AVERAGEIFS(Dane_MyGruni!$B$2:$B$64,Dane_MyGruni!$A$2:$A$64,$A6,Dane_MyGruni!$D$2:$D$64,"policja"),"")</f>
        <v/>
      </c>
      <c r="E6" s="20" t="str">
        <f t="shared" si="1"/>
        <v/>
      </c>
      <c r="F6" s="20" t="str">
        <f>IFERROR(AVERAGEIFS(Dane_MyGruni!$B$2:$B$64,Dane_MyGruni!$A$2:$A$64,$A6),"")</f>
        <v/>
      </c>
      <c r="G6" s="21">
        <f t="shared" si="2"/>
        <v>0</v>
      </c>
    </row>
    <row r="7" ht="15.75" customHeight="1">
      <c r="A7" s="1">
        <v>2001.0</v>
      </c>
      <c r="B7" s="17" t="str">
        <f>IFERROR(AVERAGEIFS(Dane_MyGruni!$B$2:$B$64,Dane_MyGruni!$A$2:$A$64,$A7,Dane_MyGruni!$D$2:$D$64,"prasa"),"")</f>
        <v/>
      </c>
      <c r="C7" s="17" t="str">
        <f>IFERROR(AVERAGEIFS(Dane_MyGruni!$B$2:$B$64,Dane_MyGruni!$A$2:$A$64,$A7,Dane_MyGruni!$D$2:$D$64,"organizatorzy"),"")</f>
        <v/>
      </c>
      <c r="D7" s="17" t="str">
        <f>IFERROR(AVERAGEIFS(Dane_MyGruni!$B$2:$B$64,Dane_MyGruni!$A$2:$A$64,$A7,Dane_MyGruni!$D$2:$D$64,"policja"),"")</f>
        <v/>
      </c>
      <c r="E7" s="20" t="str">
        <f t="shared" si="1"/>
        <v/>
      </c>
      <c r="F7" s="20" t="str">
        <f>IFERROR(AVERAGEIFS(Dane_MyGruni!$B$2:$B$64,Dane_MyGruni!$A$2:$A$64,$A7),"")</f>
        <v/>
      </c>
      <c r="G7" s="21">
        <f t="shared" si="2"/>
        <v>0</v>
      </c>
    </row>
    <row r="8" ht="15.75" customHeight="1">
      <c r="A8" s="26">
        <v>2002.0</v>
      </c>
      <c r="B8" s="17" t="str">
        <f>IFERROR(AVERAGEIFS(Dane_MyGruni!$B$2:$B$64,Dane_MyGruni!$A$2:$A$64,$A8,Dane_MyGruni!$D$2:$D$64,"prasa"),"")</f>
        <v/>
      </c>
      <c r="C8" s="17" t="str">
        <f>IFERROR(AVERAGEIFS(Dane_MyGruni!$B$2:$B$64,Dane_MyGruni!$A$2:$A$64,$A8,Dane_MyGruni!$D$2:$D$64,"organizatorzy"),"")</f>
        <v/>
      </c>
      <c r="D8" s="17" t="str">
        <f>IFERROR(AVERAGEIFS(Dane_MyGruni!$B$2:$B$64,Dane_MyGruni!$A$2:$A$64,$A8,Dane_MyGruni!$D$2:$D$64,"policja"),"")</f>
        <v/>
      </c>
      <c r="E8" s="20" t="str">
        <f t="shared" si="1"/>
        <v/>
      </c>
      <c r="F8" s="20" t="str">
        <f>IFERROR(AVERAGEIFS(Dane_MyGruni!$B$2:$B$64,Dane_MyGruni!$A$2:$A$64,$A8),"")</f>
        <v/>
      </c>
      <c r="G8" s="21">
        <f t="shared" si="2"/>
        <v>0</v>
      </c>
    </row>
    <row r="9" ht="15.75" customHeight="1">
      <c r="A9" s="26">
        <v>2003.0</v>
      </c>
      <c r="B9" s="17" t="str">
        <f>IFERROR(AVERAGEIFS(Dane_MyGruni!$B$2:$B$64,Dane_MyGruni!$A$2:$A$64,$A9,Dane_MyGruni!$D$2:$D$64,"prasa"),"")</f>
        <v/>
      </c>
      <c r="C9" s="17" t="str">
        <f>IFERROR(AVERAGEIFS(Dane_MyGruni!$B$2:$B$64,Dane_MyGruni!$A$2:$A$64,$A9,Dane_MyGruni!$D$2:$D$64,"organizatorzy"),"")</f>
        <v/>
      </c>
      <c r="D9" s="17" t="str">
        <f>IFERROR(AVERAGEIFS(Dane_MyGruni!$B$2:$B$64,Dane_MyGruni!$A$2:$A$64,$A9,Dane_MyGruni!$D$2:$D$64,"policja"),"")</f>
        <v/>
      </c>
      <c r="E9" s="20" t="str">
        <f t="shared" si="1"/>
        <v/>
      </c>
      <c r="F9" s="20" t="str">
        <f>IFERROR(AVERAGEIFS(Dane_MyGruni!$B$2:$B$64,Dane_MyGruni!$A$2:$A$64,$A9),"")</f>
        <v/>
      </c>
      <c r="G9" s="21">
        <f t="shared" si="2"/>
        <v>0</v>
      </c>
    </row>
    <row r="10" ht="15.75" customHeight="1">
      <c r="A10" s="1">
        <v>2004.0</v>
      </c>
      <c r="B10" s="17" t="str">
        <f>IFERROR(AVERAGEIFS(Dane_MyGruni!$B$2:$B$64,Dane_MyGruni!$A$2:$A$64,$A10,Dane_MyGruni!$D$2:$D$64,"prasa"),"")</f>
        <v/>
      </c>
      <c r="C10" s="17" t="str">
        <f>IFERROR(AVERAGEIFS(Dane_MyGruni!$B$2:$B$64,Dane_MyGruni!$A$2:$A$64,$A10,Dane_MyGruni!$D$2:$D$64,"organizatorzy"),"")</f>
        <v/>
      </c>
      <c r="D10" s="17" t="str">
        <f>IFERROR(AVERAGEIFS(Dane_MyGruni!$B$2:$B$64,Dane_MyGruni!$A$2:$A$64,$A10,Dane_MyGruni!$D$2:$D$64,"policja"),"")</f>
        <v/>
      </c>
      <c r="E10" s="20" t="str">
        <f t="shared" si="1"/>
        <v/>
      </c>
      <c r="F10" s="20" t="str">
        <f>IFERROR(AVERAGEIFS(Dane_MyGruni!$B$2:$B$64,Dane_MyGruni!$A$2:$A$64,$A10),"")</f>
        <v/>
      </c>
      <c r="G10" s="21">
        <f t="shared" si="2"/>
        <v>0</v>
      </c>
    </row>
    <row r="11" ht="15.75" customHeight="1">
      <c r="A11" s="1">
        <v>2005.0</v>
      </c>
      <c r="B11" s="17" t="str">
        <f>IFERROR(AVERAGEIFS(Dane_MyGruni!$B$2:$B$64,Dane_MyGruni!$A$2:$A$64,$A11,Dane_MyGruni!$D$2:$D$64,"prasa"),"")</f>
        <v/>
      </c>
      <c r="C11" s="17" t="str">
        <f>IFERROR(AVERAGEIFS(Dane_MyGruni!$B$2:$B$64,Dane_MyGruni!$A$2:$A$64,$A11,Dane_MyGruni!$D$2:$D$64,"organizatorzy"),"")</f>
        <v/>
      </c>
      <c r="D11" s="17" t="str">
        <f>IFERROR(AVERAGEIFS(Dane_MyGruni!$B$2:$B$64,Dane_MyGruni!$A$2:$A$64,$A11,Dane_MyGruni!$D$2:$D$64,"policja"),"")</f>
        <v/>
      </c>
      <c r="E11" s="20" t="str">
        <f t="shared" si="1"/>
        <v/>
      </c>
      <c r="F11" s="20" t="str">
        <f>IFERROR(AVERAGEIFS(Dane_MyGruni!$B$2:$B$64,Dane_MyGruni!$A$2:$A$64,$A11),"")</f>
        <v/>
      </c>
      <c r="G11" s="21">
        <f t="shared" si="2"/>
        <v>0</v>
      </c>
    </row>
    <row r="12" ht="15.75" customHeight="1">
      <c r="A12" s="1">
        <v>2006.0</v>
      </c>
      <c r="B12" s="17" t="str">
        <f>IFERROR(AVERAGEIFS(Dane_MyGruni!$B$2:$B$64,Dane_MyGruni!$A$2:$A$64,$A12,Dane_MyGruni!$D$2:$D$64,"prasa"),"")</f>
        <v/>
      </c>
      <c r="C12" s="17" t="str">
        <f>IFERROR(AVERAGEIFS(Dane_MyGruni!$B$2:$B$64,Dane_MyGruni!$A$2:$A$64,$A12,Dane_MyGruni!$D$2:$D$64,"organizatorzy"),"")</f>
        <v/>
      </c>
      <c r="D12" s="17" t="str">
        <f>IFERROR(AVERAGEIFS(Dane_MyGruni!$B$2:$B$64,Dane_MyGruni!$A$2:$A$64,$A12,Dane_MyGruni!$D$2:$D$64,"policja"),"")</f>
        <v/>
      </c>
      <c r="E12" s="20" t="str">
        <f t="shared" si="1"/>
        <v/>
      </c>
      <c r="F12" s="20" t="str">
        <f>IFERROR(AVERAGEIFS(Dane_MyGruni!$B$2:$B$64,Dane_MyGruni!$A$2:$A$64,$A12),"")</f>
        <v/>
      </c>
      <c r="G12" s="21">
        <f t="shared" si="2"/>
        <v>0</v>
      </c>
    </row>
    <row r="13" ht="15.75" customHeight="1">
      <c r="A13" s="26">
        <v>2007.0</v>
      </c>
      <c r="B13" s="17" t="str">
        <f>IFERROR(AVERAGEIFS(Dane_MyGruni!$B$2:$B$64,Dane_MyGruni!$A$2:$A$64,$A13,Dane_MyGruni!$D$2:$D$64,"prasa"),"")</f>
        <v/>
      </c>
      <c r="C13" s="17" t="str">
        <f>IFERROR(AVERAGEIFS(Dane_MyGruni!$B$2:$B$64,Dane_MyGruni!$A$2:$A$64,$A13,Dane_MyGruni!$D$2:$D$64,"organizatorzy"),"")</f>
        <v/>
      </c>
      <c r="D13" s="17" t="str">
        <f>IFERROR(AVERAGEIFS(Dane_MyGruni!$B$2:$B$64,Dane_MyGruni!$A$2:$A$64,$A13,Dane_MyGruni!$D$2:$D$64,"policja"),"")</f>
        <v/>
      </c>
      <c r="E13" s="20" t="str">
        <f t="shared" si="1"/>
        <v/>
      </c>
      <c r="F13" s="20" t="str">
        <f>IFERROR(AVERAGEIFS(Dane_MyGruni!$B$2:$B$64,Dane_MyGruni!$A$2:$A$64,$A13),"")</f>
        <v/>
      </c>
      <c r="G13" s="21">
        <f t="shared" si="2"/>
        <v>0</v>
      </c>
    </row>
    <row r="14" ht="15.75" customHeight="1">
      <c r="A14" s="26">
        <v>2008.0</v>
      </c>
      <c r="B14" s="17" t="str">
        <f>IFERROR(AVERAGEIFS(Dane_MyGruni!$B$2:$B$64,Dane_MyGruni!$A$2:$A$64,$A14,Dane_MyGruni!$D$2:$D$64,"prasa"),"")</f>
        <v/>
      </c>
      <c r="C14" s="17" t="str">
        <f>IFERROR(AVERAGEIFS(Dane_MyGruni!$B$2:$B$64,Dane_MyGruni!$A$2:$A$64,$A14,Dane_MyGruni!$D$2:$D$64,"organizatorzy"),"")</f>
        <v/>
      </c>
      <c r="D14" s="17" t="str">
        <f>IFERROR(AVERAGEIFS(Dane_MyGruni!$B$2:$B$64,Dane_MyGruni!$A$2:$A$64,$A14,Dane_MyGruni!$D$2:$D$64,"policja"),"")</f>
        <v/>
      </c>
      <c r="E14" s="20" t="str">
        <f t="shared" si="1"/>
        <v/>
      </c>
      <c r="F14" s="20" t="str">
        <f>IFERROR(AVERAGEIFS(Dane_MyGruni!$B$2:$B$64,Dane_MyGruni!$A$2:$A$64,$A14),"")</f>
        <v/>
      </c>
      <c r="G14" s="21">
        <f t="shared" si="2"/>
        <v>0</v>
      </c>
    </row>
    <row r="15" ht="15.75" customHeight="1">
      <c r="A15" s="1">
        <v>2009.0</v>
      </c>
      <c r="B15" s="17" t="str">
        <f>IFERROR(AVERAGEIFS(Dane_MyGruni!$B$2:$B$64,Dane_MyGruni!$A$2:$A$64,$A15,Dane_MyGruni!$D$2:$D$64,"prasa"),"")</f>
        <v/>
      </c>
      <c r="C15" s="17" t="str">
        <f>IFERROR(AVERAGEIFS(Dane_MyGruni!$B$2:$B$64,Dane_MyGruni!$A$2:$A$64,$A15,Dane_MyGruni!$D$2:$D$64,"organizatorzy"),"")</f>
        <v/>
      </c>
      <c r="D15" s="17" t="str">
        <f>IFERROR(AVERAGEIFS(Dane_MyGruni!$B$2:$B$64,Dane_MyGruni!$A$2:$A$64,$A15,Dane_MyGruni!$D$2:$D$64,"policja"),"")</f>
        <v/>
      </c>
      <c r="E15" s="20" t="str">
        <f t="shared" si="1"/>
        <v/>
      </c>
      <c r="F15" s="20" t="str">
        <f>IFERROR(AVERAGEIFS(Dane_MyGruni!$B$2:$B$64,Dane_MyGruni!$A$2:$A$64,$A15),"")</f>
        <v/>
      </c>
      <c r="G15" s="21">
        <f t="shared" si="2"/>
        <v>0</v>
      </c>
    </row>
    <row r="16" ht="15.75" customHeight="1">
      <c r="A16" s="1">
        <v>2010.0</v>
      </c>
      <c r="B16" s="17" t="str">
        <f>IFERROR(AVERAGEIFS(Dane_MyGruni!$B$2:$B$64,Dane_MyGruni!$A$2:$A$64,$A16,Dane_MyGruni!$D$2:$D$64,"prasa"),"")</f>
        <v/>
      </c>
      <c r="C16" s="17" t="str">
        <f>IFERROR(AVERAGEIFS(Dane_MyGruni!$B$2:$B$64,Dane_MyGruni!$A$2:$A$64,$A16,Dane_MyGruni!$D$2:$D$64,"organizatorzy"),"")</f>
        <v/>
      </c>
      <c r="D16" s="17" t="str">
        <f>IFERROR(AVERAGEIFS(Dane_MyGruni!$B$2:$B$64,Dane_MyGruni!$A$2:$A$64,$A16,Dane_MyGruni!$D$2:$D$64,"policja"),"")</f>
        <v/>
      </c>
      <c r="E16" s="20" t="str">
        <f t="shared" si="1"/>
        <v/>
      </c>
      <c r="F16" s="20" t="str">
        <f>IFERROR(AVERAGEIFS(Dane_MyGruni!$B$2:$B$64,Dane_MyGruni!$A$2:$A$64,$A16),"")</f>
        <v/>
      </c>
      <c r="G16" s="21">
        <f t="shared" si="2"/>
        <v>0</v>
      </c>
    </row>
    <row r="17" ht="15.75" customHeight="1">
      <c r="A17" s="1">
        <v>2011.0</v>
      </c>
      <c r="B17" s="17" t="str">
        <f>IFERROR(AVERAGEIFS(Dane_MyGruni!$B$2:$B$64,Dane_MyGruni!$A$2:$A$64,$A17,Dane_MyGruni!$D$2:$D$64,"prasa"),"")</f>
        <v/>
      </c>
      <c r="C17" s="17" t="str">
        <f>IFERROR(AVERAGEIFS(Dane_MyGruni!$B$2:$B$64,Dane_MyGruni!$A$2:$A$64,$A17,Dane_MyGruni!$D$2:$D$64,"organizatorzy"),"")</f>
        <v/>
      </c>
      <c r="D17" s="17" t="str">
        <f>IFERROR(AVERAGEIFS(Dane_MyGruni!$B$2:$B$64,Dane_MyGruni!$A$2:$A$64,$A17,Dane_MyGruni!$D$2:$D$64,"policja"),"")</f>
        <v/>
      </c>
      <c r="E17" s="20" t="str">
        <f t="shared" si="1"/>
        <v/>
      </c>
      <c r="F17" s="20" t="str">
        <f>IFERROR(AVERAGEIFS(Dane_MyGruni!$B$2:$B$64,Dane_MyGruni!$A$2:$A$64,$A17),"")</f>
        <v/>
      </c>
      <c r="G17" s="21">
        <f t="shared" si="2"/>
        <v>0</v>
      </c>
    </row>
    <row r="18" ht="15.75" customHeight="1">
      <c r="A18" s="26">
        <v>2012.0</v>
      </c>
      <c r="B18" s="17" t="str">
        <f>IFERROR(AVERAGEIFS(Dane_MyGruni!$B$2:$B$64,Dane_MyGruni!$A$2:$A$64,$A18,Dane_MyGruni!$D$2:$D$64,"prasa"),"")</f>
        <v/>
      </c>
      <c r="C18" s="17" t="str">
        <f>IFERROR(AVERAGEIFS(Dane_MyGruni!$B$2:$B$64,Dane_MyGruni!$A$2:$A$64,$A18,Dane_MyGruni!$D$2:$D$64,"organizatorzy"),"")</f>
        <v/>
      </c>
      <c r="D18" s="17" t="str">
        <f>IFERROR(AVERAGEIFS(Dane_MyGruni!$B$2:$B$64,Dane_MyGruni!$A$2:$A$64,$A18,Dane_MyGruni!$D$2:$D$64,"policja"),"")</f>
        <v/>
      </c>
      <c r="E18" s="20" t="str">
        <f t="shared" si="1"/>
        <v/>
      </c>
      <c r="F18" s="20" t="str">
        <f>IFERROR(AVERAGEIFS(Dane_MyGruni!$B$2:$B$64,Dane_MyGruni!$A$2:$A$64,$A18),"")</f>
        <v/>
      </c>
      <c r="G18" s="21">
        <f t="shared" si="2"/>
        <v>0</v>
      </c>
    </row>
    <row r="19" ht="15.75" customHeight="1">
      <c r="A19" s="26">
        <v>2013.0</v>
      </c>
      <c r="B19" s="17" t="str">
        <f>IFERROR(AVERAGEIFS(Dane_MyGruni!$B$2:$B$64,Dane_MyGruni!$A$2:$A$64,$A19,Dane_MyGruni!$D$2:$D$64,"prasa"),"")</f>
        <v/>
      </c>
      <c r="C19" s="17" t="str">
        <f>IFERROR(AVERAGEIFS(Dane_MyGruni!$B$2:$B$64,Dane_MyGruni!$A$2:$A$64,$A19,Dane_MyGruni!$D$2:$D$64,"organizatorzy"),"")</f>
        <v/>
      </c>
      <c r="D19" s="17" t="str">
        <f>IFERROR(AVERAGEIFS(Dane_MyGruni!$B$2:$B$64,Dane_MyGruni!$A$2:$A$64,$A19,Dane_MyGruni!$D$2:$D$64,"policja"),"")</f>
        <v/>
      </c>
      <c r="E19" s="20" t="str">
        <f t="shared" si="1"/>
        <v/>
      </c>
      <c r="F19" s="20" t="str">
        <f>IFERROR(AVERAGEIFS(Dane_MyGruni!$B$2:$B$64,Dane_MyGruni!$A$2:$A$64,$A19),"")</f>
        <v/>
      </c>
      <c r="G19" s="21">
        <f t="shared" si="2"/>
        <v>0</v>
      </c>
    </row>
    <row r="20" ht="15.75" customHeight="1">
      <c r="A20" s="1">
        <v>2014.0</v>
      </c>
      <c r="B20" s="17" t="str">
        <f>IFERROR(AVERAGEIFS(Dane_MyGruni!$B$2:$B$64,Dane_MyGruni!$A$2:$A$64,$A20,Dane_MyGruni!$D$2:$D$64,"prasa"),"")</f>
        <v/>
      </c>
      <c r="C20" s="17" t="str">
        <f>IFERROR(AVERAGEIFS(Dane_MyGruni!$B$2:$B$64,Dane_MyGruni!$A$2:$A$64,$A20,Dane_MyGruni!$D$2:$D$64,"organizatorzy"),"")</f>
        <v/>
      </c>
      <c r="D20" s="17" t="str">
        <f>IFERROR(AVERAGEIFS(Dane_MyGruni!$B$2:$B$64,Dane_MyGruni!$A$2:$A$64,$A20,Dane_MyGruni!$D$2:$D$64,"policja"),"")</f>
        <v/>
      </c>
      <c r="E20" s="20" t="str">
        <f t="shared" si="1"/>
        <v/>
      </c>
      <c r="F20" s="20" t="str">
        <f>IFERROR(AVERAGEIFS(Dane_MyGruni!$B$2:$B$64,Dane_MyGruni!$A$2:$A$64,$A20),"")</f>
        <v/>
      </c>
      <c r="G20" s="21">
        <f t="shared" si="2"/>
        <v>0</v>
      </c>
    </row>
    <row r="21" ht="15.75" customHeight="1">
      <c r="A21" s="1">
        <v>2015.0</v>
      </c>
      <c r="B21" s="17" t="str">
        <f>IFERROR(AVERAGEIFS(Dane_MyGruni!$B$2:$B$64,Dane_MyGruni!$A$2:$A$64,$A21,Dane_MyGruni!$D$2:$D$64,"prasa"),"")</f>
        <v/>
      </c>
      <c r="C21" s="17" t="str">
        <f>IFERROR(AVERAGEIFS(Dane_MyGruni!$B$2:$B$64,Dane_MyGruni!$A$2:$A$64,$A21,Dane_MyGruni!$D$2:$D$64,"organizatorzy"),"")</f>
        <v/>
      </c>
      <c r="D21" s="17" t="str">
        <f>IFERROR(AVERAGEIFS(Dane_MyGruni!$B$2:$B$64,Dane_MyGruni!$A$2:$A$64,$A21,Dane_MyGruni!$D$2:$D$64,"policja"),"")</f>
        <v/>
      </c>
      <c r="E21" s="20" t="str">
        <f t="shared" si="1"/>
        <v/>
      </c>
      <c r="F21" s="20" t="str">
        <f>IFERROR(AVERAGEIFS(Dane_MyGruni!$B$2:$B$64,Dane_MyGruni!$A$2:$A$64,$A21),"")</f>
        <v/>
      </c>
      <c r="G21" s="21">
        <f t="shared" si="2"/>
        <v>0</v>
      </c>
    </row>
    <row r="22" ht="15.75" customHeight="1">
      <c r="A22" s="1">
        <v>2016.0</v>
      </c>
      <c r="B22" s="17" t="str">
        <f>IFERROR(AVERAGEIFS(Dane_MyGruni!$B$2:$B$64,Dane_MyGruni!$A$2:$A$64,$A22,Dane_MyGruni!$D$2:$D$64,"prasa"),"")</f>
        <v/>
      </c>
      <c r="C22" s="17" t="str">
        <f>IFERROR(AVERAGEIFS(Dane_MyGruni!$B$2:$B$64,Dane_MyGruni!$A$2:$A$64,$A22,Dane_MyGruni!$D$2:$D$64,"organizatorzy"),"")</f>
        <v/>
      </c>
      <c r="D22" s="17" t="str">
        <f>IFERROR(AVERAGEIFS(Dane_MyGruni!$B$2:$B$64,Dane_MyGruni!$A$2:$A$64,$A22,Dane_MyGruni!$D$2:$D$64,"policja"),"")</f>
        <v/>
      </c>
      <c r="E22" s="20" t="str">
        <f t="shared" si="1"/>
        <v/>
      </c>
      <c r="F22" s="20" t="str">
        <f>IFERROR(AVERAGEIFS(Dane_MyGruni!$B$2:$B$64,Dane_MyGruni!$A$2:$A$64,$A22),"")</f>
        <v/>
      </c>
      <c r="G22" s="21">
        <f t="shared" si="2"/>
        <v>0</v>
      </c>
    </row>
    <row r="23" ht="15.75" customHeight="1">
      <c r="A23" s="26">
        <v>2017.0</v>
      </c>
      <c r="B23" s="17" t="str">
        <f>IFERROR(AVERAGEIFS(Dane_MyGruni!$B$2:$B$64,Dane_MyGruni!$A$2:$A$64,$A23,Dane_MyGruni!$D$2:$D$64,"prasa"),"")</f>
        <v/>
      </c>
      <c r="C23" s="17" t="str">
        <f>IFERROR(AVERAGEIFS(Dane_MyGruni!$B$2:$B$64,Dane_MyGruni!$A$2:$A$64,$A23,Dane_MyGruni!$D$2:$D$64,"organizatorzy"),"")</f>
        <v/>
      </c>
      <c r="D23" s="17" t="str">
        <f>IFERROR(AVERAGEIFS(Dane_MyGruni!$B$2:$B$64,Dane_MyGruni!$A$2:$A$64,$A23,Dane_MyGruni!$D$2:$D$64,"policja"),"")</f>
        <v/>
      </c>
      <c r="E23" s="20" t="str">
        <f t="shared" si="1"/>
        <v/>
      </c>
      <c r="F23" s="20" t="str">
        <f>IFERROR(AVERAGEIFS(Dane_MyGruni!$B$2:$B$64,Dane_MyGruni!$A$2:$A$64,$A23),"")</f>
        <v/>
      </c>
      <c r="G23" s="21">
        <f t="shared" si="2"/>
        <v>0</v>
      </c>
    </row>
    <row r="24" ht="15.75" customHeight="1">
      <c r="A24" s="26">
        <v>2018.0</v>
      </c>
      <c r="B24" s="17">
        <f>IFERROR(AVERAGEIFS(Dane_MyGruni!$B$2:$B$64,Dane_MyGruni!$A$2:$A$64,$A24,Dane_MyGruni!$D$2:$D$64,"prasa"),"")</f>
        <v>1500</v>
      </c>
      <c r="C24" s="17">
        <f>IFERROR(AVERAGEIFS(Dane_MyGruni!$B$2:$B$64,Dane_MyGruni!$A$2:$A$64,$A24,Dane_MyGruni!$D$2:$D$64,"organizatorzy"),"")</f>
        <v>5000</v>
      </c>
      <c r="D24" s="17" t="str">
        <f>IFERROR(AVERAGEIFS(Dane_MyGruni!$B$2:$B$64,Dane_MyGruni!$A$2:$A$64,$A24,Dane_MyGruni!$D$2:$D$64,"policja"),"")</f>
        <v/>
      </c>
      <c r="E24" s="20">
        <f t="shared" si="1"/>
        <v>2666.666667</v>
      </c>
      <c r="F24" s="20">
        <f>IFERROR(AVERAGEIFS(Dane_MyGruni!$B$2:$B$64,Dane_MyGruni!$A$2:$A$64,$A24),"")</f>
        <v>3250</v>
      </c>
      <c r="G24" s="21">
        <f t="shared" si="2"/>
        <v>-583.3333333</v>
      </c>
    </row>
    <row r="25" ht="15.75" customHeight="1">
      <c r="A25" s="1">
        <v>2019.0</v>
      </c>
      <c r="B25" s="17">
        <f>IFERROR(AVERAGEIFS(Dane_MyGruni!$B$2:$B$64,Dane_MyGruni!$A$2:$A$64,$A25,Dane_MyGruni!$D$2:$D$64,"prasa"),"")</f>
        <v>3333.333333</v>
      </c>
      <c r="C25" s="17">
        <f>IFERROR(AVERAGEIFS(Dane_MyGruni!$B$2:$B$64,Dane_MyGruni!$A$2:$A$64,$A25,Dane_MyGruni!$D$2:$D$64,"organizatorzy"),"")</f>
        <v>7500</v>
      </c>
      <c r="D25" s="17" t="str">
        <f>IFERROR(AVERAGEIFS(Dane_MyGruni!$B$2:$B$64,Dane_MyGruni!$A$2:$A$64,$A25,Dane_MyGruni!$D$2:$D$64,"policja"),"")</f>
        <v/>
      </c>
      <c r="E25" s="20">
        <f t="shared" si="1"/>
        <v>4722.222222</v>
      </c>
      <c r="F25" s="20">
        <f>IFERROR(AVERAGEIFS(Dane_MyGruni!$B$2:$B$64,Dane_MyGruni!$A$2:$A$64,$A25),"")</f>
        <v>4375</v>
      </c>
      <c r="G25" s="21">
        <f t="shared" si="2"/>
        <v>347.2222222</v>
      </c>
    </row>
    <row r="26" ht="15.75" customHeight="1">
      <c r="A26" s="1"/>
      <c r="B26" s="49"/>
      <c r="C26" s="49"/>
      <c r="D26" s="49"/>
      <c r="E26" s="20"/>
      <c r="F26" s="2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</cols>
  <sheetData>
    <row r="1">
      <c r="A1" s="1" t="s">
        <v>244</v>
      </c>
      <c r="B1" s="1" t="s">
        <v>1</v>
      </c>
      <c r="C1" s="1" t="s">
        <v>245</v>
      </c>
      <c r="D1" s="1" t="s">
        <v>246</v>
      </c>
      <c r="E1" s="1" t="s">
        <v>247</v>
      </c>
    </row>
    <row r="2">
      <c r="A2" s="34">
        <v>32999.0</v>
      </c>
      <c r="B2" s="1">
        <v>1990.0</v>
      </c>
      <c r="C2" s="1" t="s">
        <v>248</v>
      </c>
      <c r="D2" s="23">
        <f t="shared" ref="D2:D24" si="1">A2-DATE(YEAR(A2),1,0)</f>
        <v>126</v>
      </c>
      <c r="E2" s="23">
        <f t="shared" ref="E2:E4" si="2">DATE(YEAR(B2),5,1)-DATE(YEAR(B2),1,0)</f>
        <v>121</v>
      </c>
      <c r="F2" s="23">
        <f t="shared" ref="F2:F24" si="3">D2-E2</f>
        <v>5</v>
      </c>
    </row>
    <row r="3">
      <c r="A3" s="34">
        <v>33209.0</v>
      </c>
      <c r="B3" s="1">
        <v>1990.0</v>
      </c>
      <c r="C3" s="1" t="s">
        <v>249</v>
      </c>
      <c r="D3" s="23">
        <f t="shared" si="1"/>
        <v>336</v>
      </c>
      <c r="E3" s="23">
        <f t="shared" si="2"/>
        <v>121</v>
      </c>
      <c r="F3" s="23">
        <f t="shared" si="3"/>
        <v>215</v>
      </c>
    </row>
    <row r="4">
      <c r="A4" s="34">
        <v>33209.0</v>
      </c>
      <c r="B4" s="1">
        <v>1990.0</v>
      </c>
      <c r="C4" s="1" t="s">
        <v>250</v>
      </c>
      <c r="D4" s="23">
        <f t="shared" si="1"/>
        <v>336</v>
      </c>
      <c r="E4" s="23">
        <f t="shared" si="2"/>
        <v>121</v>
      </c>
      <c r="F4" s="23">
        <f t="shared" si="3"/>
        <v>215</v>
      </c>
    </row>
    <row r="5">
      <c r="A5" s="35">
        <v>33748.0</v>
      </c>
      <c r="B5" s="1">
        <v>1992.0</v>
      </c>
      <c r="C5" s="1" t="s">
        <v>251</v>
      </c>
      <c r="D5" s="23">
        <f t="shared" si="1"/>
        <v>145</v>
      </c>
      <c r="E5" s="1">
        <v>122.0</v>
      </c>
      <c r="F5" s="36">
        <f t="shared" si="3"/>
        <v>23</v>
      </c>
      <c r="G5" s="36"/>
    </row>
    <row r="6">
      <c r="A6" s="35">
        <v>34497.0</v>
      </c>
      <c r="B6" s="1">
        <v>1994.0</v>
      </c>
      <c r="C6" s="1" t="s">
        <v>252</v>
      </c>
      <c r="D6" s="23">
        <f t="shared" si="1"/>
        <v>163</v>
      </c>
      <c r="E6" s="23">
        <f t="shared" ref="E6:E13" si="4">DATE(YEAR(B6),5,1)-DATE(YEAR(B6),1,0)</f>
        <v>121</v>
      </c>
      <c r="F6" s="36">
        <f t="shared" si="3"/>
        <v>42</v>
      </c>
    </row>
    <row r="7">
      <c r="A7" s="37">
        <v>34623.0</v>
      </c>
      <c r="B7" s="1">
        <v>1994.0</v>
      </c>
      <c r="C7" s="1" t="s">
        <v>253</v>
      </c>
      <c r="D7" s="23">
        <f t="shared" si="1"/>
        <v>289</v>
      </c>
      <c r="E7" s="23">
        <f t="shared" si="4"/>
        <v>121</v>
      </c>
      <c r="F7" s="23">
        <f t="shared" si="3"/>
        <v>168</v>
      </c>
    </row>
    <row r="8">
      <c r="A8" s="37">
        <v>34994.0</v>
      </c>
      <c r="B8" s="1">
        <v>1995.0</v>
      </c>
      <c r="C8" s="1" t="s">
        <v>249</v>
      </c>
      <c r="D8" s="23">
        <f t="shared" si="1"/>
        <v>295</v>
      </c>
      <c r="E8" s="23">
        <f t="shared" si="4"/>
        <v>121</v>
      </c>
      <c r="F8" s="23">
        <f t="shared" si="3"/>
        <v>174</v>
      </c>
    </row>
    <row r="9">
      <c r="A9" s="35">
        <v>36065.0</v>
      </c>
      <c r="B9" s="1">
        <v>1998.0</v>
      </c>
      <c r="C9" s="1" t="s">
        <v>253</v>
      </c>
      <c r="D9" s="23">
        <f t="shared" si="1"/>
        <v>270</v>
      </c>
      <c r="E9" s="23">
        <f t="shared" si="4"/>
        <v>121</v>
      </c>
      <c r="F9" s="23">
        <f t="shared" si="3"/>
        <v>149</v>
      </c>
    </row>
    <row r="10">
      <c r="A10" s="35">
        <v>36324.0</v>
      </c>
      <c r="B10" s="1">
        <v>1999.0</v>
      </c>
      <c r="C10" s="1" t="s">
        <v>252</v>
      </c>
      <c r="D10" s="23">
        <f t="shared" si="1"/>
        <v>164</v>
      </c>
      <c r="E10" s="23">
        <f t="shared" si="4"/>
        <v>121</v>
      </c>
      <c r="F10" s="36">
        <f t="shared" si="3"/>
        <v>43</v>
      </c>
    </row>
    <row r="11">
      <c r="A11" s="37">
        <v>36443.0</v>
      </c>
      <c r="B11" s="1">
        <v>1999.0</v>
      </c>
      <c r="C11" s="1" t="s">
        <v>249</v>
      </c>
      <c r="D11" s="23">
        <f t="shared" si="1"/>
        <v>283</v>
      </c>
      <c r="E11" s="23">
        <f t="shared" si="4"/>
        <v>121</v>
      </c>
      <c r="F11" s="23">
        <f t="shared" si="3"/>
        <v>162</v>
      </c>
    </row>
    <row r="12">
      <c r="A12" s="37">
        <v>37185.0</v>
      </c>
      <c r="B12" s="1">
        <v>2001.0</v>
      </c>
      <c r="C12" s="1" t="s">
        <v>249</v>
      </c>
      <c r="D12" s="23">
        <f t="shared" si="1"/>
        <v>294</v>
      </c>
      <c r="E12" s="23">
        <f t="shared" si="4"/>
        <v>121</v>
      </c>
      <c r="F12" s="23">
        <f t="shared" si="3"/>
        <v>173</v>
      </c>
    </row>
    <row r="13">
      <c r="A13" s="35">
        <v>37521.0</v>
      </c>
      <c r="B13" s="1">
        <v>2002.0</v>
      </c>
      <c r="C13" s="1" t="s">
        <v>253</v>
      </c>
      <c r="D13" s="23">
        <f t="shared" si="1"/>
        <v>265</v>
      </c>
      <c r="E13" s="23">
        <f t="shared" si="4"/>
        <v>121</v>
      </c>
      <c r="F13" s="23">
        <f t="shared" si="3"/>
        <v>144</v>
      </c>
    </row>
    <row r="14">
      <c r="A14" s="35">
        <v>38151.0</v>
      </c>
      <c r="B14" s="1">
        <v>2004.0</v>
      </c>
      <c r="C14" s="1" t="s">
        <v>252</v>
      </c>
      <c r="D14" s="23">
        <f t="shared" si="1"/>
        <v>165</v>
      </c>
      <c r="E14" s="1">
        <v>122.0</v>
      </c>
      <c r="F14" s="36">
        <f t="shared" si="3"/>
        <v>43</v>
      </c>
    </row>
    <row r="15">
      <c r="A15" s="35">
        <v>38613.0</v>
      </c>
      <c r="B15" s="1">
        <v>2005.0</v>
      </c>
      <c r="C15" s="1" t="s">
        <v>253</v>
      </c>
      <c r="D15" s="23">
        <f t="shared" si="1"/>
        <v>261</v>
      </c>
      <c r="E15" s="23">
        <f t="shared" ref="E15:E21" si="5">DATE(YEAR(B15),5,1)-DATE(YEAR(B15),1,0)</f>
        <v>121</v>
      </c>
      <c r="F15" s="23">
        <f t="shared" si="3"/>
        <v>140</v>
      </c>
    </row>
    <row r="16">
      <c r="A16" s="35">
        <v>38977.0</v>
      </c>
      <c r="B16" s="1">
        <v>2006.0</v>
      </c>
      <c r="C16" s="1" t="s">
        <v>249</v>
      </c>
      <c r="D16" s="23">
        <f t="shared" si="1"/>
        <v>260</v>
      </c>
      <c r="E16" s="23">
        <f t="shared" si="5"/>
        <v>121</v>
      </c>
      <c r="F16" s="23">
        <f t="shared" si="3"/>
        <v>139</v>
      </c>
    </row>
    <row r="17">
      <c r="A17" s="35">
        <v>39971.0</v>
      </c>
      <c r="B17" s="1">
        <v>2009.0</v>
      </c>
      <c r="C17" s="1" t="s">
        <v>252</v>
      </c>
      <c r="D17" s="23">
        <f t="shared" si="1"/>
        <v>158</v>
      </c>
      <c r="E17" s="23">
        <f t="shared" si="5"/>
        <v>121</v>
      </c>
      <c r="F17" s="36">
        <f t="shared" si="3"/>
        <v>37</v>
      </c>
    </row>
    <row r="18">
      <c r="A18" s="35">
        <v>40083.0</v>
      </c>
      <c r="B18" s="1">
        <v>2009.0</v>
      </c>
      <c r="C18" s="1" t="s">
        <v>253</v>
      </c>
      <c r="D18" s="23">
        <f t="shared" si="1"/>
        <v>270</v>
      </c>
      <c r="E18" s="23">
        <f t="shared" si="5"/>
        <v>121</v>
      </c>
      <c r="F18" s="23">
        <f t="shared" si="3"/>
        <v>149</v>
      </c>
    </row>
    <row r="19">
      <c r="A19" s="35">
        <v>40804.0</v>
      </c>
      <c r="B19" s="1">
        <v>2011.0</v>
      </c>
      <c r="C19" s="1" t="s">
        <v>249</v>
      </c>
      <c r="D19" s="23">
        <f t="shared" si="1"/>
        <v>261</v>
      </c>
      <c r="E19" s="23">
        <f t="shared" si="5"/>
        <v>121</v>
      </c>
      <c r="F19" s="23">
        <f t="shared" si="3"/>
        <v>140</v>
      </c>
    </row>
    <row r="20">
      <c r="A20" s="35">
        <v>41539.0</v>
      </c>
      <c r="B20" s="1">
        <v>2013.0</v>
      </c>
      <c r="C20" s="1" t="s">
        <v>253</v>
      </c>
      <c r="D20" s="23">
        <f t="shared" si="1"/>
        <v>265</v>
      </c>
      <c r="E20" s="23">
        <f t="shared" si="5"/>
        <v>121</v>
      </c>
      <c r="F20" s="23">
        <f t="shared" si="3"/>
        <v>144</v>
      </c>
    </row>
    <row r="21">
      <c r="A21" s="35">
        <v>41784.0</v>
      </c>
      <c r="B21" s="1">
        <v>2014.0</v>
      </c>
      <c r="C21" s="1" t="s">
        <v>252</v>
      </c>
      <c r="D21" s="23">
        <f t="shared" si="1"/>
        <v>145</v>
      </c>
      <c r="E21" s="23">
        <f t="shared" si="5"/>
        <v>121</v>
      </c>
      <c r="F21" s="36">
        <f t="shared" si="3"/>
        <v>24</v>
      </c>
    </row>
    <row r="22">
      <c r="A22" s="35">
        <v>42631.0</v>
      </c>
      <c r="B22" s="1">
        <v>2016.0</v>
      </c>
      <c r="C22" s="1" t="s">
        <v>249</v>
      </c>
      <c r="D22" s="23">
        <f t="shared" si="1"/>
        <v>262</v>
      </c>
      <c r="E22" s="1">
        <v>122.0</v>
      </c>
      <c r="F22" s="23">
        <f t="shared" si="3"/>
        <v>140</v>
      </c>
    </row>
    <row r="23">
      <c r="A23" s="35">
        <v>43002.0</v>
      </c>
      <c r="B23" s="1">
        <v>2017.0</v>
      </c>
      <c r="C23" s="1" t="s">
        <v>253</v>
      </c>
      <c r="D23" s="23">
        <f t="shared" si="1"/>
        <v>267</v>
      </c>
      <c r="E23" s="23">
        <f t="shared" ref="E23:E24" si="6">DATE(YEAR(B23),5,1)-DATE(YEAR(B23),1,0)</f>
        <v>121</v>
      </c>
      <c r="F23" s="23">
        <f t="shared" si="3"/>
        <v>146</v>
      </c>
    </row>
    <row r="24">
      <c r="A24" s="35">
        <v>43611.0</v>
      </c>
      <c r="B24" s="1">
        <v>2019.0</v>
      </c>
      <c r="C24" s="1" t="s">
        <v>252</v>
      </c>
      <c r="D24" s="23">
        <f t="shared" si="1"/>
        <v>146</v>
      </c>
      <c r="E24" s="23">
        <f t="shared" si="6"/>
        <v>121</v>
      </c>
      <c r="F24" s="36">
        <f t="shared" si="3"/>
        <v>25</v>
      </c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8"/>
      <c r="B1" s="38"/>
      <c r="C1" s="38"/>
      <c r="D1" s="39" t="s">
        <v>254</v>
      </c>
      <c r="E1" s="39" t="s">
        <v>255</v>
      </c>
      <c r="F1" s="38" t="s">
        <v>256</v>
      </c>
      <c r="G1" s="38"/>
    </row>
    <row r="2">
      <c r="A2" s="40">
        <v>1950.0</v>
      </c>
      <c r="B2" s="38"/>
      <c r="C2" s="38"/>
      <c r="D2" s="38"/>
      <c r="E2" s="40">
        <v>550000.0</v>
      </c>
      <c r="F2" s="38"/>
      <c r="G2" s="38"/>
    </row>
    <row r="3">
      <c r="A3" s="40">
        <v>1951.0</v>
      </c>
      <c r="B3" s="38"/>
      <c r="C3" s="38"/>
      <c r="D3" s="38"/>
      <c r="E3" s="40">
        <v>550000.0</v>
      </c>
      <c r="F3" s="38"/>
      <c r="G3" s="38"/>
    </row>
    <row r="4">
      <c r="A4" s="40">
        <v>1952.0</v>
      </c>
      <c r="B4" s="38"/>
      <c r="C4" s="38"/>
      <c r="D4" s="38"/>
      <c r="E4" s="40">
        <v>400000.0</v>
      </c>
      <c r="F4" s="38"/>
      <c r="G4" s="38"/>
    </row>
    <row r="5">
      <c r="A5" s="40">
        <v>1953.0</v>
      </c>
      <c r="B5" s="38"/>
      <c r="C5" s="38"/>
      <c r="D5" s="38"/>
      <c r="E5" s="40">
        <v>600000.0</v>
      </c>
      <c r="F5" s="38"/>
      <c r="G5" s="38"/>
    </row>
    <row r="6">
      <c r="A6" s="40">
        <v>1954.0</v>
      </c>
      <c r="B6" s="38"/>
      <c r="C6" s="38"/>
      <c r="D6" s="38"/>
      <c r="E6" s="40">
        <v>250000.0</v>
      </c>
      <c r="F6" s="38"/>
      <c r="G6" s="38"/>
    </row>
    <row r="7">
      <c r="A7" s="40">
        <v>1955.0</v>
      </c>
      <c r="B7" s="38"/>
      <c r="C7" s="38"/>
      <c r="D7" s="38"/>
      <c r="E7" s="40">
        <v>100000.0</v>
      </c>
      <c r="F7" s="38"/>
      <c r="G7" s="38"/>
    </row>
    <row r="8">
      <c r="A8" s="40">
        <v>1956.0</v>
      </c>
      <c r="B8" s="38"/>
      <c r="C8" s="38"/>
      <c r="D8" s="38"/>
      <c r="E8" s="40">
        <v>100000.0</v>
      </c>
      <c r="F8" s="38"/>
      <c r="G8" s="38"/>
    </row>
    <row r="9">
      <c r="A9" s="40">
        <v>1957.0</v>
      </c>
      <c r="B9" s="38"/>
      <c r="C9" s="38"/>
      <c r="D9" s="38"/>
      <c r="E9" s="40">
        <v>60000.0</v>
      </c>
      <c r="F9" s="38"/>
      <c r="G9" s="38"/>
    </row>
    <row r="10">
      <c r="A10" s="40">
        <v>1958.0</v>
      </c>
      <c r="B10" s="38"/>
      <c r="C10" s="38"/>
      <c r="D10" s="38"/>
      <c r="E10" s="40">
        <v>45000.0</v>
      </c>
      <c r="F10" s="38"/>
      <c r="G10" s="38"/>
    </row>
    <row r="11">
      <c r="A11" s="40">
        <v>1959.0</v>
      </c>
      <c r="B11" s="38"/>
      <c r="C11" s="38"/>
      <c r="D11" s="38"/>
      <c r="E11" s="40">
        <v>550000.0</v>
      </c>
      <c r="F11" s="38"/>
      <c r="G11" s="38"/>
    </row>
    <row r="12">
      <c r="A12" s="40">
        <v>1960.0</v>
      </c>
      <c r="B12" s="38"/>
      <c r="C12" s="38"/>
      <c r="D12" s="38"/>
      <c r="E12" s="40">
        <v>750000.0</v>
      </c>
      <c r="F12" s="38"/>
      <c r="G12" s="38"/>
    </row>
    <row r="13">
      <c r="A13" s="40">
        <v>1961.0</v>
      </c>
      <c r="B13" s="38"/>
      <c r="C13" s="38"/>
      <c r="D13" s="38"/>
      <c r="E13" s="40">
        <v>700000.0</v>
      </c>
      <c r="F13" s="38"/>
      <c r="G13" s="38"/>
    </row>
    <row r="14">
      <c r="A14" s="40">
        <v>1962.0</v>
      </c>
      <c r="B14" s="38"/>
      <c r="C14" s="38"/>
      <c r="D14" s="38"/>
      <c r="E14" s="40">
        <v>700000.0</v>
      </c>
      <c r="F14" s="38"/>
      <c r="G14" s="38"/>
    </row>
    <row r="15">
      <c r="A15" s="40">
        <v>1963.0</v>
      </c>
      <c r="B15" s="38"/>
      <c r="C15" s="38"/>
      <c r="D15" s="38"/>
      <c r="E15" s="40">
        <v>500000.0</v>
      </c>
      <c r="F15" s="38"/>
      <c r="G15" s="38"/>
    </row>
    <row r="16">
      <c r="A16" s="40">
        <v>1964.0</v>
      </c>
      <c r="B16" s="38"/>
      <c r="C16" s="38"/>
      <c r="D16" s="38"/>
      <c r="E16" s="40">
        <v>300000.0</v>
      </c>
      <c r="F16" s="38"/>
      <c r="G16" s="38"/>
    </row>
    <row r="17">
      <c r="A17" s="40">
        <v>1965.0</v>
      </c>
      <c r="B17" s="38"/>
      <c r="C17" s="38"/>
      <c r="D17" s="38"/>
      <c r="E17" s="40">
        <v>400000.0</v>
      </c>
      <c r="F17" s="38"/>
      <c r="G17" s="38"/>
    </row>
    <row r="18">
      <c r="A18" s="40">
        <v>1966.0</v>
      </c>
      <c r="B18" s="38"/>
      <c r="C18" s="38"/>
      <c r="D18" s="38"/>
      <c r="E18" s="40">
        <v>225000.0</v>
      </c>
      <c r="F18" s="38"/>
      <c r="G18" s="38"/>
    </row>
    <row r="19">
      <c r="A19" s="40">
        <v>1967.0</v>
      </c>
      <c r="B19" s="38"/>
      <c r="C19" s="38"/>
      <c r="D19" s="38"/>
      <c r="E19" s="40">
        <v>137500.0</v>
      </c>
      <c r="F19" s="38"/>
      <c r="G19" s="38"/>
    </row>
    <row r="20">
      <c r="A20" s="40">
        <v>1968.0</v>
      </c>
      <c r="B20" s="38"/>
      <c r="C20" s="38"/>
      <c r="D20" s="38"/>
      <c r="E20" s="40">
        <v>80000.0</v>
      </c>
      <c r="F20" s="38"/>
      <c r="G20" s="38"/>
    </row>
    <row r="21">
      <c r="A21" s="40">
        <v>1969.0</v>
      </c>
      <c r="B21" s="38"/>
      <c r="C21" s="38"/>
      <c r="D21" s="38"/>
      <c r="E21" s="40">
        <v>20000.0</v>
      </c>
      <c r="F21" s="38"/>
      <c r="G21" s="38"/>
    </row>
    <row r="22">
      <c r="A22" s="40">
        <v>1970.0</v>
      </c>
      <c r="B22" s="38"/>
      <c r="C22" s="38"/>
      <c r="D22" s="38"/>
      <c r="E22" s="38"/>
      <c r="F22" s="40">
        <v>15000.0</v>
      </c>
      <c r="G22" s="38" t="s">
        <v>257</v>
      </c>
    </row>
    <row r="23">
      <c r="A23" s="40">
        <v>1971.0</v>
      </c>
      <c r="B23" s="38"/>
      <c r="C23" s="38"/>
      <c r="D23" s="38"/>
      <c r="E23" s="38" t="s">
        <v>23</v>
      </c>
      <c r="F23" s="38"/>
      <c r="G23" s="38"/>
    </row>
    <row r="24">
      <c r="A24" s="40">
        <v>1972.0</v>
      </c>
      <c r="B24" s="38"/>
      <c r="C24" s="38"/>
      <c r="D24" s="38"/>
      <c r="E24" s="38" t="s">
        <v>23</v>
      </c>
      <c r="F24" s="38"/>
      <c r="G24" s="38"/>
    </row>
    <row r="25">
      <c r="A25" s="40">
        <v>1973.0</v>
      </c>
      <c r="B25" s="38"/>
      <c r="C25" s="38"/>
      <c r="D25" s="38"/>
      <c r="E25" s="38" t="s">
        <v>23</v>
      </c>
      <c r="F25" s="38"/>
      <c r="G25" s="38"/>
    </row>
    <row r="26">
      <c r="A26" s="40">
        <v>1974.0</v>
      </c>
      <c r="B26" s="38"/>
      <c r="C26" s="38"/>
      <c r="D26" s="38"/>
      <c r="E26" s="40">
        <v>30000.0</v>
      </c>
      <c r="F26" s="38"/>
      <c r="G26" s="38"/>
    </row>
    <row r="27">
      <c r="A27" s="40">
        <v>1975.0</v>
      </c>
      <c r="B27" s="38"/>
      <c r="C27" s="38"/>
      <c r="D27" s="38"/>
      <c r="E27" s="40">
        <v>20000.0</v>
      </c>
      <c r="F27" s="38"/>
      <c r="G27" s="38"/>
    </row>
    <row r="28">
      <c r="A28" s="40">
        <v>1976.0</v>
      </c>
      <c r="B28" s="38"/>
      <c r="C28" s="38"/>
      <c r="D28" s="38" t="s">
        <v>23</v>
      </c>
      <c r="E28" s="38"/>
      <c r="F28" s="38"/>
      <c r="G28" s="38"/>
    </row>
    <row r="29">
      <c r="A29" s="40">
        <v>1977.0</v>
      </c>
      <c r="B29" s="38"/>
      <c r="C29" s="38"/>
      <c r="D29" s="38" t="s">
        <v>23</v>
      </c>
      <c r="E29" s="40">
        <v>12500.0</v>
      </c>
      <c r="F29" s="38"/>
      <c r="G29" s="38"/>
    </row>
    <row r="30">
      <c r="A30" s="40">
        <v>1978.0</v>
      </c>
      <c r="B30" s="38"/>
      <c r="C30" s="40">
        <v>500000.0</v>
      </c>
      <c r="D30" s="38"/>
      <c r="E30" s="40">
        <v>22500.0</v>
      </c>
      <c r="F30" s="40">
        <v>20000.0</v>
      </c>
      <c r="G30" s="38" t="s">
        <v>257</v>
      </c>
    </row>
    <row r="31">
      <c r="A31" s="40">
        <v>1979.0</v>
      </c>
      <c r="B31" s="38"/>
      <c r="C31" s="40">
        <v>545000.0</v>
      </c>
      <c r="D31" s="38"/>
      <c r="E31" s="40">
        <v>27500.0</v>
      </c>
      <c r="F31" s="38"/>
      <c r="G31" s="38"/>
    </row>
    <row r="32">
      <c r="A32" s="40">
        <v>1980.0</v>
      </c>
      <c r="B32" s="38"/>
      <c r="C32" s="40">
        <v>590000.0</v>
      </c>
      <c r="D32" s="38"/>
      <c r="E32" s="40">
        <v>17500.0</v>
      </c>
      <c r="F32" s="40">
        <v>20000.0</v>
      </c>
      <c r="G32" s="38" t="s">
        <v>257</v>
      </c>
    </row>
    <row r="33">
      <c r="A33" s="40">
        <v>1981.0</v>
      </c>
      <c r="B33" s="38"/>
      <c r="C33" s="40">
        <v>590000.0</v>
      </c>
      <c r="D33" s="40">
        <v>20000.0</v>
      </c>
      <c r="E33" s="40">
        <v>20000.0</v>
      </c>
      <c r="F33" s="38"/>
      <c r="G33" s="38"/>
    </row>
    <row r="34">
      <c r="A34" s="40">
        <v>1982.0</v>
      </c>
      <c r="B34" s="38"/>
      <c r="C34" s="38"/>
      <c r="D34" s="38"/>
      <c r="E34" s="40">
        <v>35000.0</v>
      </c>
      <c r="F34" s="38"/>
      <c r="G34" s="38"/>
    </row>
    <row r="35">
      <c r="A35" s="40">
        <v>1983.0</v>
      </c>
      <c r="B35" s="38"/>
      <c r="C35" s="38"/>
      <c r="D35" s="38"/>
      <c r="E35" s="40">
        <v>12500.0</v>
      </c>
      <c r="F35" s="38"/>
      <c r="G35" s="38"/>
    </row>
    <row r="36">
      <c r="A36" s="40">
        <v>1984.0</v>
      </c>
      <c r="B36" s="38"/>
      <c r="C36" s="38"/>
      <c r="D36" s="38"/>
      <c r="E36" s="40">
        <v>15000.0</v>
      </c>
      <c r="F36" s="38"/>
      <c r="G36" s="38"/>
    </row>
    <row r="37">
      <c r="A37" s="40">
        <v>1985.0</v>
      </c>
      <c r="B37" s="38"/>
      <c r="C37" s="38"/>
      <c r="D37" s="38"/>
      <c r="E37" s="40">
        <v>9000.0</v>
      </c>
      <c r="F37" s="38"/>
      <c r="G37" s="38"/>
    </row>
    <row r="38">
      <c r="A38" s="41">
        <v>1986.0</v>
      </c>
      <c r="B38" s="38"/>
      <c r="C38" s="40">
        <v>950000.0</v>
      </c>
      <c r="D38" s="38"/>
      <c r="E38" s="40">
        <v>40000.0</v>
      </c>
      <c r="F38" s="40">
        <v>30000.0</v>
      </c>
      <c r="G38" s="38" t="s">
        <v>257</v>
      </c>
    </row>
    <row r="39">
      <c r="A39" s="40">
        <v>1987.0</v>
      </c>
      <c r="B39" s="38"/>
      <c r="C39" s="40">
        <v>670000.0</v>
      </c>
      <c r="D39" s="38"/>
      <c r="E39" s="40">
        <v>30000.0</v>
      </c>
      <c r="F39" s="40">
        <v>50000.0</v>
      </c>
      <c r="G39" s="38" t="s">
        <v>257</v>
      </c>
    </row>
    <row r="40">
      <c r="A40" s="40">
        <v>1988.0</v>
      </c>
      <c r="B40" s="38"/>
      <c r="C40" s="40">
        <v>606015.0</v>
      </c>
      <c r="D40" s="38"/>
      <c r="E40" s="40">
        <v>50000.0</v>
      </c>
      <c r="F40" s="40">
        <v>50000.0</v>
      </c>
      <c r="G40" s="38" t="s">
        <v>257</v>
      </c>
    </row>
    <row r="41">
      <c r="A41" s="40">
        <v>1989.0</v>
      </c>
      <c r="B41" s="38"/>
      <c r="C41" s="40">
        <v>612460.0</v>
      </c>
      <c r="D41" s="38"/>
      <c r="E41" s="40">
        <v>50000.0</v>
      </c>
      <c r="F41" s="38"/>
      <c r="G41" s="38"/>
    </row>
    <row r="42">
      <c r="A42" s="40">
        <v>1990.0</v>
      </c>
      <c r="B42" s="38"/>
      <c r="C42" s="40">
        <v>756154.0</v>
      </c>
      <c r="D42" s="42">
        <v>56666.666666666664</v>
      </c>
      <c r="E42" s="43"/>
      <c r="F42" s="38"/>
      <c r="G42" s="38"/>
    </row>
    <row r="43">
      <c r="A43" s="40">
        <v>1991.0</v>
      </c>
      <c r="B43" s="38"/>
      <c r="C43" s="40">
        <f>476090+41830</f>
        <v>517920</v>
      </c>
      <c r="D43" s="42">
        <v>10000.0</v>
      </c>
      <c r="E43" s="43"/>
      <c r="F43" s="38"/>
      <c r="G43" s="38"/>
    </row>
    <row r="44">
      <c r="A44" s="40">
        <v>1992.0</v>
      </c>
      <c r="B44" s="38"/>
      <c r="C44" s="38"/>
      <c r="D44" s="42">
        <v>25600.0</v>
      </c>
      <c r="E44" s="38"/>
      <c r="F44" s="38"/>
      <c r="G44" s="38"/>
    </row>
    <row r="45">
      <c r="A45" s="40">
        <v>1993.0</v>
      </c>
      <c r="B45" s="38"/>
      <c r="C45" s="38"/>
      <c r="D45" s="42">
        <v>28333.333333333332</v>
      </c>
      <c r="E45" s="38"/>
      <c r="F45" s="38"/>
      <c r="G45" s="38"/>
    </row>
    <row r="46">
      <c r="A46" s="40">
        <v>1994.0</v>
      </c>
      <c r="B46" s="38"/>
      <c r="C46" s="38"/>
      <c r="D46" s="42">
        <v>6000.0</v>
      </c>
      <c r="E46" s="38"/>
      <c r="F46" s="38"/>
      <c r="G46" s="38"/>
    </row>
    <row r="47">
      <c r="A47" s="40">
        <v>1995.0</v>
      </c>
      <c r="B47" s="38"/>
      <c r="C47" s="38"/>
      <c r="D47" s="42">
        <v>7400.0</v>
      </c>
      <c r="E47" s="38"/>
      <c r="F47" s="38"/>
      <c r="G47" s="38"/>
    </row>
    <row r="48">
      <c r="A48" s="40">
        <v>1996.0</v>
      </c>
      <c r="B48" s="38" t="s">
        <v>258</v>
      </c>
      <c r="C48" s="40">
        <v>586320.0</v>
      </c>
      <c r="D48" s="42">
        <v>16666.666666666668</v>
      </c>
      <c r="E48" s="38"/>
      <c r="F48" s="38"/>
      <c r="G48" s="38"/>
    </row>
    <row r="49">
      <c r="A49" s="40">
        <v>1997.0</v>
      </c>
      <c r="B49" s="38" t="s">
        <v>259</v>
      </c>
      <c r="C49" s="40">
        <v>530000.0</v>
      </c>
      <c r="D49" s="42">
        <v>10625.0</v>
      </c>
      <c r="E49" s="38"/>
      <c r="F49" s="38"/>
      <c r="G49" s="38"/>
    </row>
    <row r="50">
      <c r="A50" s="40">
        <v>1998.0</v>
      </c>
      <c r="B50" s="38" t="s">
        <v>260</v>
      </c>
      <c r="C50" s="40">
        <v>500000.0</v>
      </c>
      <c r="D50" s="42">
        <v>13875.0</v>
      </c>
      <c r="E50" s="43"/>
      <c r="F50" s="38"/>
      <c r="G50" s="38"/>
    </row>
    <row r="51">
      <c r="A51" s="40">
        <v>1999.0</v>
      </c>
      <c r="B51" s="38" t="s">
        <v>261</v>
      </c>
      <c r="C51" s="38"/>
      <c r="D51" s="42">
        <v>11250.0</v>
      </c>
      <c r="E51" s="38"/>
      <c r="F51" s="38"/>
      <c r="G51" s="38"/>
    </row>
    <row r="52">
      <c r="A52" s="40">
        <v>2000.0</v>
      </c>
      <c r="B52" s="38" t="s">
        <v>262</v>
      </c>
      <c r="C52" s="40">
        <v>500000.0</v>
      </c>
      <c r="D52" s="42">
        <v>11400.0</v>
      </c>
      <c r="E52" s="43"/>
      <c r="F52" s="38"/>
      <c r="G52" s="38"/>
    </row>
    <row r="53">
      <c r="A53" s="40">
        <v>2001.0</v>
      </c>
      <c r="B53" s="38" t="s">
        <v>263</v>
      </c>
      <c r="C53" s="40">
        <v>500000.0</v>
      </c>
      <c r="D53" s="42">
        <v>16200.0</v>
      </c>
      <c r="E53" s="43"/>
      <c r="F53" s="38"/>
      <c r="G53" s="38"/>
    </row>
    <row r="54">
      <c r="A54" s="40">
        <v>2002.0</v>
      </c>
      <c r="B54" s="38" t="s">
        <v>264</v>
      </c>
      <c r="C54" s="40">
        <v>500000.0</v>
      </c>
      <c r="D54" s="42">
        <v>14666.666666666666</v>
      </c>
      <c r="E54" s="43"/>
      <c r="F54" s="38"/>
      <c r="G54" s="38"/>
    </row>
    <row r="55">
      <c r="A55" s="40">
        <v>2003.0</v>
      </c>
      <c r="B55" s="38" t="s">
        <v>265</v>
      </c>
      <c r="C55" s="40">
        <v>1000000.0</v>
      </c>
      <c r="D55" s="42">
        <v>13500.0</v>
      </c>
      <c r="E55" s="43"/>
      <c r="F55" s="38"/>
      <c r="G55" s="38"/>
    </row>
    <row r="56">
      <c r="A56" s="40">
        <v>2004.0</v>
      </c>
      <c r="B56" s="38" t="s">
        <v>266</v>
      </c>
      <c r="C56" s="40">
        <v>510000.0</v>
      </c>
      <c r="D56" s="42">
        <v>20666.666666666668</v>
      </c>
      <c r="E56" s="43"/>
      <c r="F56" s="38"/>
      <c r="G56" s="38"/>
    </row>
    <row r="57">
      <c r="A57" s="40">
        <v>2005.0</v>
      </c>
      <c r="B57" s="38" t="s">
        <v>267</v>
      </c>
      <c r="C57" s="40">
        <v>530000.0</v>
      </c>
      <c r="D57" s="42">
        <v>10500.0</v>
      </c>
      <c r="E57" s="43"/>
      <c r="F57" s="38"/>
      <c r="G57" s="38"/>
    </row>
    <row r="58">
      <c r="A58" s="40">
        <v>2006.0</v>
      </c>
      <c r="B58" s="38" t="s">
        <v>268</v>
      </c>
      <c r="C58" s="40">
        <v>500000.0</v>
      </c>
      <c r="D58" s="42">
        <v>17000.0</v>
      </c>
      <c r="E58" s="43"/>
      <c r="F58" s="38"/>
      <c r="G58" s="38"/>
    </row>
    <row r="59">
      <c r="A59" s="40">
        <v>2007.0</v>
      </c>
      <c r="B59" s="38" t="s">
        <v>269</v>
      </c>
      <c r="C59" s="40">
        <v>530000.0</v>
      </c>
      <c r="D59" s="42">
        <v>9750.0</v>
      </c>
      <c r="E59" s="43"/>
      <c r="F59" s="38"/>
      <c r="G59" s="38"/>
    </row>
    <row r="60">
      <c r="A60" s="40">
        <v>2008.0</v>
      </c>
      <c r="B60" s="38" t="s">
        <v>270</v>
      </c>
      <c r="C60" s="40">
        <v>416000.0</v>
      </c>
      <c r="D60" s="42">
        <v>5000.0</v>
      </c>
      <c r="E60" s="43"/>
      <c r="F60" s="38"/>
      <c r="G60" s="38"/>
    </row>
    <row r="61">
      <c r="A61" s="40">
        <v>2009.0</v>
      </c>
      <c r="B61" s="38" t="s">
        <v>271</v>
      </c>
      <c r="C61" s="40">
        <v>484000.0</v>
      </c>
      <c r="D61" s="42">
        <v>11250.0</v>
      </c>
      <c r="E61" s="43"/>
      <c r="F61" s="38"/>
      <c r="G61" s="38"/>
    </row>
    <row r="62">
      <c r="A62" s="40">
        <v>2010.0</v>
      </c>
      <c r="B62" s="38" t="s">
        <v>272</v>
      </c>
      <c r="C62" s="40">
        <v>464000.0</v>
      </c>
      <c r="D62" s="42">
        <v>9750.0</v>
      </c>
      <c r="E62" s="43"/>
      <c r="F62" s="38"/>
      <c r="G62" s="38"/>
    </row>
    <row r="63">
      <c r="A63" s="40">
        <v>2011.0</v>
      </c>
      <c r="B63" s="38" t="s">
        <v>273</v>
      </c>
      <c r="C63" s="40">
        <v>419000.0</v>
      </c>
      <c r="D63" s="42">
        <v>8000.0</v>
      </c>
      <c r="E63" s="43"/>
      <c r="F63" s="38"/>
      <c r="G63" s="38"/>
    </row>
    <row r="64">
      <c r="A64" s="40">
        <v>2012.0</v>
      </c>
      <c r="B64" s="38" t="s">
        <v>274</v>
      </c>
      <c r="C64" s="40">
        <v>420000.0</v>
      </c>
      <c r="D64" s="42">
        <v>11833.333333333334</v>
      </c>
      <c r="E64" s="43"/>
      <c r="F64" s="38"/>
      <c r="G64" s="38"/>
    </row>
    <row r="65">
      <c r="A65" s="40">
        <v>2013.0</v>
      </c>
      <c r="B65" s="38" t="s">
        <v>275</v>
      </c>
      <c r="C65" s="40">
        <v>425000.0</v>
      </c>
      <c r="D65" s="42">
        <v>9750.0</v>
      </c>
      <c r="E65" s="43"/>
      <c r="F65" s="38"/>
      <c r="G65" s="38"/>
    </row>
    <row r="66">
      <c r="A66" s="40">
        <v>2014.0</v>
      </c>
      <c r="B66" s="38" t="s">
        <v>276</v>
      </c>
      <c r="C66" s="40">
        <v>400000.0</v>
      </c>
      <c r="D66" s="42">
        <v>7500.0</v>
      </c>
      <c r="E66" s="43"/>
      <c r="F66" s="38"/>
      <c r="G66" s="38"/>
    </row>
    <row r="67">
      <c r="A67" s="40">
        <v>2015.0</v>
      </c>
      <c r="B67" s="38" t="s">
        <v>277</v>
      </c>
      <c r="C67" s="40">
        <v>402000.0</v>
      </c>
      <c r="D67" s="42">
        <v>17000.0</v>
      </c>
      <c r="E67" s="43"/>
      <c r="F67" s="38"/>
      <c r="G67" s="38"/>
    </row>
    <row r="68">
      <c r="A68" s="40">
        <v>2016.0</v>
      </c>
      <c r="B68" s="38" t="s">
        <v>278</v>
      </c>
      <c r="C68" s="44">
        <v>390000.0</v>
      </c>
      <c r="D68" s="42">
        <v>14000.0</v>
      </c>
      <c r="E68" s="43"/>
      <c r="F68" s="38"/>
      <c r="G68" s="38"/>
    </row>
    <row r="69">
      <c r="A69" s="40">
        <v>2017.0</v>
      </c>
      <c r="B69" s="38" t="s">
        <v>279</v>
      </c>
      <c r="C69" s="40">
        <v>360000.0</v>
      </c>
      <c r="D69" s="42">
        <v>14000.0</v>
      </c>
      <c r="E69" s="43"/>
      <c r="F69" s="38"/>
      <c r="G69" s="38"/>
    </row>
    <row r="70">
      <c r="A70" s="40">
        <v>2018.0</v>
      </c>
      <c r="B70" s="38" t="s">
        <v>280</v>
      </c>
      <c r="C70" s="40">
        <v>340000.0</v>
      </c>
      <c r="D70" s="42">
        <v>14000.0</v>
      </c>
      <c r="E70" s="43"/>
      <c r="F70" s="38"/>
      <c r="G70" s="38"/>
    </row>
    <row r="71">
      <c r="A71" s="40">
        <v>2019.0</v>
      </c>
      <c r="B71" s="38" t="s">
        <v>281</v>
      </c>
      <c r="C71" s="40">
        <v>381500.0</v>
      </c>
      <c r="D71" s="42">
        <v>13000.0</v>
      </c>
      <c r="E71" s="43"/>
      <c r="F71" s="38"/>
      <c r="G71" s="38"/>
    </row>
    <row r="79">
      <c r="D79" s="1" t="s">
        <v>282</v>
      </c>
      <c r="E79" s="1" t="s">
        <v>283</v>
      </c>
      <c r="F79" s="1" t="s">
        <v>284</v>
      </c>
    </row>
    <row r="80">
      <c r="D80" s="1" t="s">
        <v>285</v>
      </c>
      <c r="E80" s="1" t="s">
        <v>286</v>
      </c>
      <c r="F80" s="1" t="s">
        <v>287</v>
      </c>
    </row>
    <row r="81">
      <c r="D81" s="1" t="s">
        <v>288</v>
      </c>
      <c r="E81" s="1" t="s">
        <v>289</v>
      </c>
      <c r="F81" s="1" t="s">
        <v>290</v>
      </c>
    </row>
    <row r="82">
      <c r="D82" s="1" t="s">
        <v>291</v>
      </c>
      <c r="E82" s="1" t="s">
        <v>292</v>
      </c>
    </row>
    <row r="83">
      <c r="D83" s="1" t="s">
        <v>293</v>
      </c>
      <c r="E83" s="1" t="s">
        <v>294</v>
      </c>
    </row>
    <row r="84">
      <c r="D84" s="1" t="s">
        <v>295</v>
      </c>
      <c r="E84" s="1" t="s">
        <v>296</v>
      </c>
    </row>
    <row r="85">
      <c r="D85" s="1" t="s">
        <v>297</v>
      </c>
      <c r="E85" s="1" t="s">
        <v>298</v>
      </c>
    </row>
    <row r="86">
      <c r="D86" s="1" t="s">
        <v>299</v>
      </c>
      <c r="E86" s="1" t="s">
        <v>300</v>
      </c>
      <c r="F86" s="1" t="s">
        <v>301</v>
      </c>
    </row>
    <row r="87">
      <c r="D87" s="1" t="s">
        <v>302</v>
      </c>
      <c r="E87" s="1" t="s">
        <v>303</v>
      </c>
      <c r="F87" s="1" t="s">
        <v>304</v>
      </c>
    </row>
  </sheetData>
  <hyperlinks>
    <hyperlink r:id="rId1" ref="C68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8.86"/>
  </cols>
  <sheetData>
    <row r="1">
      <c r="A1" s="48" t="s">
        <v>349</v>
      </c>
      <c r="B1" s="48" t="s">
        <v>350</v>
      </c>
      <c r="C1" s="48" t="s">
        <v>351</v>
      </c>
      <c r="D1" s="48" t="s">
        <v>352</v>
      </c>
      <c r="E1" s="48" t="s">
        <v>353</v>
      </c>
      <c r="F1" s="1" t="s">
        <v>354</v>
      </c>
      <c r="G1" s="1" t="s">
        <v>355</v>
      </c>
      <c r="H1" s="1" t="s">
        <v>356</v>
      </c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40">
        <v>1950.0</v>
      </c>
      <c r="B2" s="38" t="s">
        <v>357</v>
      </c>
      <c r="C2" s="38" t="s">
        <v>358</v>
      </c>
      <c r="D2" s="38" t="s">
        <v>359</v>
      </c>
      <c r="E2" s="38" t="s">
        <v>360</v>
      </c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40">
        <v>1951.0</v>
      </c>
      <c r="B3" s="38" t="s">
        <v>361</v>
      </c>
      <c r="C3" s="38" t="s">
        <v>359</v>
      </c>
      <c r="D3" s="38" t="s">
        <v>362</v>
      </c>
      <c r="E3" s="38" t="s">
        <v>363</v>
      </c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40">
        <v>1952.0</v>
      </c>
      <c r="B4" s="38" t="s">
        <v>364</v>
      </c>
      <c r="C4" s="39" t="s">
        <v>304</v>
      </c>
      <c r="D4" s="38" t="s">
        <v>365</v>
      </c>
      <c r="E4" s="38" t="s">
        <v>366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40">
        <v>1953.0</v>
      </c>
      <c r="B5" s="38" t="s">
        <v>367</v>
      </c>
      <c r="C5" s="38" t="s">
        <v>368</v>
      </c>
      <c r="D5" s="38" t="s">
        <v>368</v>
      </c>
      <c r="E5" s="38" t="s">
        <v>369</v>
      </c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40">
        <v>1954.0</v>
      </c>
      <c r="B6" s="38" t="s">
        <v>370</v>
      </c>
      <c r="C6" s="38" t="s">
        <v>371</v>
      </c>
      <c r="D6" s="38" t="s">
        <v>371</v>
      </c>
      <c r="E6" s="38" t="s">
        <v>363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40">
        <v>1955.0</v>
      </c>
      <c r="B7" s="38" t="s">
        <v>372</v>
      </c>
      <c r="C7" s="38" t="s">
        <v>359</v>
      </c>
      <c r="D7" s="38" t="s">
        <v>373</v>
      </c>
      <c r="E7" s="38" t="s">
        <v>363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40">
        <v>1956.0</v>
      </c>
      <c r="B8" s="38" t="s">
        <v>374</v>
      </c>
      <c r="C8" s="38" t="s">
        <v>375</v>
      </c>
      <c r="D8" s="38" t="s">
        <v>375</v>
      </c>
      <c r="E8" s="38" t="s">
        <v>363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40">
        <v>1957.0</v>
      </c>
      <c r="B9" s="38" t="s">
        <v>376</v>
      </c>
      <c r="C9" s="39" t="s">
        <v>304</v>
      </c>
      <c r="D9" s="38" t="s">
        <v>304</v>
      </c>
      <c r="E9" s="38" t="s">
        <v>377</v>
      </c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40">
        <v>1958.0</v>
      </c>
      <c r="B10" s="38" t="s">
        <v>378</v>
      </c>
      <c r="C10" s="38" t="s">
        <v>379</v>
      </c>
      <c r="D10" s="38" t="s">
        <v>379</v>
      </c>
      <c r="E10" s="38" t="s">
        <v>380</v>
      </c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40">
        <v>1959.0</v>
      </c>
      <c r="B11" s="38" t="s">
        <v>381</v>
      </c>
      <c r="C11" s="38" t="s">
        <v>382</v>
      </c>
      <c r="D11" s="38" t="s">
        <v>383</v>
      </c>
      <c r="E11" s="38" t="s">
        <v>384</v>
      </c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40">
        <v>1960.0</v>
      </c>
      <c r="B12" s="38" t="s">
        <v>385</v>
      </c>
      <c r="C12" s="38" t="s">
        <v>386</v>
      </c>
      <c r="D12" s="38" t="s">
        <v>387</v>
      </c>
      <c r="E12" s="38" t="s">
        <v>388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40">
        <v>1961.0</v>
      </c>
      <c r="B13" s="38" t="s">
        <v>389</v>
      </c>
      <c r="C13" s="38" t="s">
        <v>365</v>
      </c>
      <c r="D13" s="38" t="s">
        <v>365</v>
      </c>
      <c r="E13" s="38" t="s">
        <v>380</v>
      </c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40">
        <v>1962.0</v>
      </c>
      <c r="B14" s="38" t="s">
        <v>390</v>
      </c>
      <c r="C14" s="38" t="s">
        <v>368</v>
      </c>
      <c r="D14" s="38" t="s">
        <v>368</v>
      </c>
      <c r="E14" s="38" t="s">
        <v>380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40">
        <v>1963.0</v>
      </c>
      <c r="B15" s="38" t="s">
        <v>391</v>
      </c>
      <c r="C15" s="38" t="s">
        <v>392</v>
      </c>
      <c r="D15" s="38" t="s">
        <v>371</v>
      </c>
      <c r="E15" s="38" t="s">
        <v>393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40">
        <v>1964.0</v>
      </c>
      <c r="B16" s="38" t="s">
        <v>394</v>
      </c>
      <c r="C16" s="38" t="s">
        <v>368</v>
      </c>
      <c r="D16" s="38" t="s">
        <v>373</v>
      </c>
      <c r="E16" s="38" t="s">
        <v>395</v>
      </c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40">
        <v>1965.0</v>
      </c>
      <c r="B17" s="38" t="s">
        <v>396</v>
      </c>
      <c r="C17" s="38" t="s">
        <v>379</v>
      </c>
      <c r="D17" s="38" t="s">
        <v>379</v>
      </c>
      <c r="E17" s="38" t="s">
        <v>397</v>
      </c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40">
        <v>1966.0</v>
      </c>
      <c r="B18" s="38" t="s">
        <v>398</v>
      </c>
      <c r="C18" s="38" t="s">
        <v>399</v>
      </c>
      <c r="D18" s="38" t="s">
        <v>304</v>
      </c>
      <c r="E18" s="38" t="s">
        <v>393</v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40">
        <v>1967.0</v>
      </c>
      <c r="B19" s="38" t="s">
        <v>400</v>
      </c>
      <c r="C19" s="38" t="s">
        <v>368</v>
      </c>
      <c r="D19" s="38" t="s">
        <v>401</v>
      </c>
      <c r="E19" s="38" t="s">
        <v>402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40">
        <v>1968.0</v>
      </c>
      <c r="B20" s="38" t="s">
        <v>403</v>
      </c>
      <c r="C20" s="38" t="s">
        <v>404</v>
      </c>
      <c r="D20" s="38" t="s">
        <v>383</v>
      </c>
      <c r="E20" s="38" t="s">
        <v>393</v>
      </c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40">
        <v>1969.0</v>
      </c>
      <c r="B21" s="38" t="s">
        <v>405</v>
      </c>
      <c r="C21" s="48" t="s">
        <v>406</v>
      </c>
      <c r="D21" s="38" t="s">
        <v>407</v>
      </c>
      <c r="E21" s="38" t="s">
        <v>408</v>
      </c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40">
        <v>1970.0</v>
      </c>
      <c r="B22" s="38" t="s">
        <v>409</v>
      </c>
      <c r="C22" s="38" t="s">
        <v>379</v>
      </c>
      <c r="D22" s="38" t="s">
        <v>410</v>
      </c>
      <c r="E22" s="38" t="s">
        <v>411</v>
      </c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40">
        <v>1971.0</v>
      </c>
      <c r="B23" s="38" t="s">
        <v>412</v>
      </c>
      <c r="C23" s="38" t="s">
        <v>413</v>
      </c>
      <c r="D23" s="38" t="s">
        <v>365</v>
      </c>
      <c r="E23" s="38" t="s">
        <v>414</v>
      </c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40">
        <v>1972.0</v>
      </c>
      <c r="B24" s="38" t="s">
        <v>415</v>
      </c>
      <c r="C24" s="38" t="s">
        <v>416</v>
      </c>
      <c r="D24" s="38" t="s">
        <v>368</v>
      </c>
      <c r="E24" s="38" t="s">
        <v>414</v>
      </c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40">
        <v>1973.0</v>
      </c>
      <c r="B25" s="38" t="s">
        <v>417</v>
      </c>
      <c r="C25" s="38" t="s">
        <v>368</v>
      </c>
      <c r="D25" s="38" t="s">
        <v>371</v>
      </c>
      <c r="E25" s="38" t="s">
        <v>418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40">
        <v>1974.0</v>
      </c>
      <c r="B26" s="38" t="s">
        <v>419</v>
      </c>
      <c r="C26" s="38" t="s">
        <v>379</v>
      </c>
      <c r="D26" s="38" t="s">
        <v>373</v>
      </c>
      <c r="E26" s="38" t="s">
        <v>418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40">
        <v>1975.0</v>
      </c>
      <c r="B27" s="38" t="s">
        <v>420</v>
      </c>
      <c r="C27" s="38" t="s">
        <v>421</v>
      </c>
      <c r="D27" s="38" t="s">
        <v>379</v>
      </c>
      <c r="E27" s="38" t="s">
        <v>422</v>
      </c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40">
        <v>1976.0</v>
      </c>
      <c r="B28" s="38" t="s">
        <v>423</v>
      </c>
      <c r="C28" s="38" t="s">
        <v>368</v>
      </c>
      <c r="D28" s="38" t="s">
        <v>304</v>
      </c>
      <c r="E28" s="38" t="s">
        <v>422</v>
      </c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40">
        <v>1977.0</v>
      </c>
      <c r="B29" s="38" t="s">
        <v>424</v>
      </c>
      <c r="C29" s="38" t="s">
        <v>410</v>
      </c>
      <c r="D29" s="38" t="s">
        <v>375</v>
      </c>
      <c r="E29" s="38" t="s">
        <v>422</v>
      </c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40">
        <v>1978.0</v>
      </c>
      <c r="B30" s="38" t="s">
        <v>425</v>
      </c>
      <c r="C30" s="38" t="s">
        <v>399</v>
      </c>
      <c r="D30" s="38" t="s">
        <v>383</v>
      </c>
      <c r="E30" s="38" t="s">
        <v>422</v>
      </c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40">
        <v>1979.0</v>
      </c>
      <c r="B31" s="38" t="s">
        <v>426</v>
      </c>
      <c r="C31" s="38" t="s">
        <v>383</v>
      </c>
      <c r="D31" s="38" t="s">
        <v>427</v>
      </c>
      <c r="E31" s="38" t="s">
        <v>422</v>
      </c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40">
        <v>1980.0</v>
      </c>
      <c r="B32" s="38" t="s">
        <v>428</v>
      </c>
      <c r="C32" s="38" t="s">
        <v>373</v>
      </c>
      <c r="D32" s="38" t="s">
        <v>410</v>
      </c>
      <c r="E32" s="38" t="s">
        <v>429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40">
        <v>1981.0</v>
      </c>
      <c r="B33" s="38" t="s">
        <v>430</v>
      </c>
      <c r="C33" s="38" t="s">
        <v>431</v>
      </c>
      <c r="D33" s="38" t="s">
        <v>365</v>
      </c>
      <c r="E33" s="38" t="s">
        <v>422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40">
        <v>1982.0</v>
      </c>
      <c r="B34" s="38" t="s">
        <v>432</v>
      </c>
      <c r="C34" s="38" t="s">
        <v>413</v>
      </c>
      <c r="D34" s="38" t="s">
        <v>433</v>
      </c>
      <c r="E34" s="38" t="s">
        <v>434</v>
      </c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40">
        <v>1983.0</v>
      </c>
      <c r="B35" s="38" t="s">
        <v>435</v>
      </c>
      <c r="C35" s="38" t="s">
        <v>371</v>
      </c>
      <c r="D35" s="38" t="s">
        <v>371</v>
      </c>
      <c r="E35" s="38" t="s">
        <v>436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40">
        <v>1984.0</v>
      </c>
      <c r="B36" s="38" t="s">
        <v>437</v>
      </c>
      <c r="C36" s="38" t="s">
        <v>438</v>
      </c>
      <c r="D36" s="38" t="s">
        <v>373</v>
      </c>
      <c r="E36" s="38" t="s">
        <v>436</v>
      </c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40">
        <v>1985.0</v>
      </c>
      <c r="B37" s="38" t="s">
        <v>439</v>
      </c>
      <c r="C37" s="38" t="s">
        <v>379</v>
      </c>
      <c r="D37" s="38" t="s">
        <v>440</v>
      </c>
      <c r="E37" s="38" t="s">
        <v>436</v>
      </c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40">
        <v>1986.0</v>
      </c>
      <c r="B38" s="38" t="s">
        <v>441</v>
      </c>
      <c r="C38" s="38" t="s">
        <v>413</v>
      </c>
      <c r="D38" s="38" t="s">
        <v>304</v>
      </c>
      <c r="E38" s="38" t="s">
        <v>436</v>
      </c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40">
        <v>1987.0</v>
      </c>
      <c r="B39" s="38" t="s">
        <v>442</v>
      </c>
      <c r="C39" s="38" t="s">
        <v>383</v>
      </c>
      <c r="D39" s="38" t="s">
        <v>383</v>
      </c>
      <c r="E39" s="38" t="s">
        <v>436</v>
      </c>
      <c r="F39" s="38"/>
      <c r="G39" s="38"/>
      <c r="H39" s="38"/>
      <c r="I39" s="50"/>
      <c r="J39" s="4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40">
        <v>1988.0</v>
      </c>
      <c r="B40" s="38" t="s">
        <v>443</v>
      </c>
      <c r="C40" s="38" t="s">
        <v>444</v>
      </c>
      <c r="D40" s="38" t="s">
        <v>444</v>
      </c>
      <c r="E40" s="38" t="s">
        <v>436</v>
      </c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40">
        <v>1989.0</v>
      </c>
      <c r="B41" s="38" t="s">
        <v>445</v>
      </c>
      <c r="C41" s="38" t="s">
        <v>446</v>
      </c>
      <c r="D41" s="38" t="s">
        <v>416</v>
      </c>
      <c r="E41" s="38" t="s">
        <v>447</v>
      </c>
      <c r="F41" s="38"/>
      <c r="G41" s="38"/>
      <c r="H41" s="38"/>
      <c r="I41" s="38"/>
      <c r="J41" s="38"/>
      <c r="K41" s="43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40">
        <v>1990.0</v>
      </c>
      <c r="B42" s="38" t="s">
        <v>448</v>
      </c>
      <c r="C42" s="39" t="s">
        <v>304</v>
      </c>
      <c r="D42" s="38" t="s">
        <v>304</v>
      </c>
      <c r="E42" s="38" t="s">
        <v>449</v>
      </c>
      <c r="F42" s="40">
        <v>756154.0</v>
      </c>
      <c r="G42" s="51">
        <v>56667.0</v>
      </c>
      <c r="H42" s="52">
        <f t="shared" ref="H42:H43" si="1">G42/F42</f>
        <v>0.07494108343</v>
      </c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40">
        <v>1991.0</v>
      </c>
      <c r="B43" s="38" t="s">
        <v>450</v>
      </c>
      <c r="C43" s="38" t="s">
        <v>451</v>
      </c>
      <c r="D43" s="38" t="s">
        <v>365</v>
      </c>
      <c r="E43" s="38" t="s">
        <v>452</v>
      </c>
      <c r="F43" s="40">
        <f>476090+41830</f>
        <v>517920</v>
      </c>
      <c r="G43" s="51">
        <v>10000.0</v>
      </c>
      <c r="H43" s="52">
        <f t="shared" si="1"/>
        <v>0.01930800124</v>
      </c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40">
        <v>1992.0</v>
      </c>
      <c r="B44" s="38" t="s">
        <v>453</v>
      </c>
      <c r="C44" s="38" t="s">
        <v>433</v>
      </c>
      <c r="D44" s="38" t="s">
        <v>368</v>
      </c>
      <c r="E44" s="38" t="s">
        <v>452</v>
      </c>
      <c r="F44" s="38"/>
      <c r="G44" s="51">
        <v>23000.0</v>
      </c>
      <c r="H44" s="53" t="s">
        <v>23</v>
      </c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40">
        <v>1993.0</v>
      </c>
      <c r="B45" s="38" t="s">
        <v>454</v>
      </c>
      <c r="C45" s="38" t="s">
        <v>455</v>
      </c>
      <c r="D45" s="38" t="s">
        <v>371</v>
      </c>
      <c r="E45" s="38" t="s">
        <v>452</v>
      </c>
      <c r="F45" s="38"/>
      <c r="G45" s="51">
        <v>16667.0</v>
      </c>
      <c r="H45" s="53" t="s">
        <v>23</v>
      </c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40">
        <v>1994.0</v>
      </c>
      <c r="B46" s="38" t="s">
        <v>456</v>
      </c>
      <c r="C46" s="38" t="s">
        <v>413</v>
      </c>
      <c r="D46" s="38" t="s">
        <v>359</v>
      </c>
      <c r="E46" s="38" t="s">
        <v>452</v>
      </c>
      <c r="F46" s="38"/>
      <c r="G46" s="51">
        <v>6000.0</v>
      </c>
      <c r="H46" s="53" t="s">
        <v>23</v>
      </c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40">
        <v>1995.0</v>
      </c>
      <c r="B47" s="38" t="s">
        <v>457</v>
      </c>
      <c r="C47" s="38" t="s">
        <v>410</v>
      </c>
      <c r="D47" s="38" t="s">
        <v>359</v>
      </c>
      <c r="E47" s="38" t="s">
        <v>458</v>
      </c>
      <c r="F47" s="38"/>
      <c r="G47" s="51">
        <v>7400.0</v>
      </c>
      <c r="H47" s="53" t="s">
        <v>23</v>
      </c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40">
        <v>1996.0</v>
      </c>
      <c r="B48" s="38" t="s">
        <v>459</v>
      </c>
      <c r="C48" s="39" t="s">
        <v>304</v>
      </c>
      <c r="D48" s="38" t="s">
        <v>359</v>
      </c>
      <c r="E48" s="38" t="s">
        <v>458</v>
      </c>
      <c r="F48" s="40">
        <v>586320.0</v>
      </c>
      <c r="G48" s="51">
        <v>16667.0</v>
      </c>
      <c r="H48" s="52">
        <f t="shared" ref="H48:H50" si="2">G48/F48</f>
        <v>0.02842645654</v>
      </c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40">
        <v>1997.0</v>
      </c>
      <c r="B49" s="38" t="s">
        <v>460</v>
      </c>
      <c r="C49" s="38" t="s">
        <v>379</v>
      </c>
      <c r="D49" s="38" t="s">
        <v>359</v>
      </c>
      <c r="E49" s="38" t="s">
        <v>461</v>
      </c>
      <c r="F49" s="48">
        <v>500000.0</v>
      </c>
      <c r="G49" s="51">
        <v>9500.0</v>
      </c>
      <c r="H49" s="52">
        <f t="shared" si="2"/>
        <v>0.019</v>
      </c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40">
        <v>1998.0</v>
      </c>
      <c r="B50" s="38" t="s">
        <v>462</v>
      </c>
      <c r="C50" s="38" t="s">
        <v>368</v>
      </c>
      <c r="D50" s="38" t="s">
        <v>359</v>
      </c>
      <c r="E50" s="38" t="s">
        <v>458</v>
      </c>
      <c r="F50" s="40">
        <v>500000.0</v>
      </c>
      <c r="G50" s="51">
        <v>13875.0</v>
      </c>
      <c r="H50" s="52">
        <f t="shared" si="2"/>
        <v>0.02775</v>
      </c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40">
        <v>1999.0</v>
      </c>
      <c r="B51" s="38" t="s">
        <v>463</v>
      </c>
      <c r="C51" s="38" t="s">
        <v>416</v>
      </c>
      <c r="D51" s="38" t="s">
        <v>359</v>
      </c>
      <c r="E51" s="38" t="s">
        <v>464</v>
      </c>
      <c r="F51" s="38"/>
      <c r="G51" s="51">
        <v>10400.0</v>
      </c>
      <c r="H51" s="53" t="s">
        <v>23</v>
      </c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40">
        <v>2000.0</v>
      </c>
      <c r="B52" s="38" t="s">
        <v>465</v>
      </c>
      <c r="C52" s="38" t="s">
        <v>413</v>
      </c>
      <c r="D52" s="38" t="s">
        <v>359</v>
      </c>
      <c r="E52" s="38" t="s">
        <v>466</v>
      </c>
      <c r="F52" s="40">
        <v>500000.0</v>
      </c>
      <c r="G52" s="51">
        <v>11167.0</v>
      </c>
      <c r="H52" s="52">
        <f t="shared" ref="H52:H71" si="3">G52/F52</f>
        <v>0.022334</v>
      </c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40">
        <v>2001.0</v>
      </c>
      <c r="B53" s="38" t="s">
        <v>467</v>
      </c>
      <c r="C53" s="38" t="s">
        <v>468</v>
      </c>
      <c r="D53" s="38" t="s">
        <v>359</v>
      </c>
      <c r="E53" s="38" t="s">
        <v>469</v>
      </c>
      <c r="F53" s="40">
        <v>500000.0</v>
      </c>
      <c r="G53" s="51">
        <v>16833.0</v>
      </c>
      <c r="H53" s="52">
        <f t="shared" si="3"/>
        <v>0.033666</v>
      </c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40">
        <v>2002.0</v>
      </c>
      <c r="B54" s="38" t="s">
        <v>264</v>
      </c>
      <c r="C54" s="38" t="s">
        <v>470</v>
      </c>
      <c r="D54" s="38" t="s">
        <v>359</v>
      </c>
      <c r="E54" s="38" t="s">
        <v>469</v>
      </c>
      <c r="F54" s="40">
        <v>500000.0</v>
      </c>
      <c r="G54" s="51">
        <v>13500.0</v>
      </c>
      <c r="H54" s="52">
        <f t="shared" si="3"/>
        <v>0.027</v>
      </c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40">
        <v>2003.0</v>
      </c>
      <c r="B55" s="38" t="s">
        <v>265</v>
      </c>
      <c r="C55" s="38" t="s">
        <v>471</v>
      </c>
      <c r="D55" s="38" t="s">
        <v>359</v>
      </c>
      <c r="E55" s="38" t="s">
        <v>472</v>
      </c>
      <c r="F55" s="40">
        <v>1000000.0</v>
      </c>
      <c r="G55" s="51">
        <v>13500.0</v>
      </c>
      <c r="H55" s="52">
        <f t="shared" si="3"/>
        <v>0.0135</v>
      </c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40">
        <v>2004.0</v>
      </c>
      <c r="B56" s="38" t="s">
        <v>266</v>
      </c>
      <c r="C56" s="39" t="s">
        <v>304</v>
      </c>
      <c r="D56" s="38" t="s">
        <v>359</v>
      </c>
      <c r="E56" s="38" t="s">
        <v>473</v>
      </c>
      <c r="F56" s="40">
        <v>510000.0</v>
      </c>
      <c r="G56" s="51">
        <v>18500.0</v>
      </c>
      <c r="H56" s="52">
        <f t="shared" si="3"/>
        <v>0.0362745098</v>
      </c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40">
        <v>2005.0</v>
      </c>
      <c r="B57" s="38" t="s">
        <v>474</v>
      </c>
      <c r="C57" s="38" t="s">
        <v>404</v>
      </c>
      <c r="D57" s="38" t="s">
        <v>359</v>
      </c>
      <c r="E57" s="38" t="s">
        <v>473</v>
      </c>
      <c r="F57" s="40">
        <v>530000.0</v>
      </c>
      <c r="G57" s="51">
        <v>10500.0</v>
      </c>
      <c r="H57" s="52">
        <f t="shared" si="3"/>
        <v>0.01981132075</v>
      </c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40">
        <v>2006.0</v>
      </c>
      <c r="B58" s="38" t="s">
        <v>268</v>
      </c>
      <c r="C58" s="38" t="s">
        <v>475</v>
      </c>
      <c r="D58" s="38" t="s">
        <v>359</v>
      </c>
      <c r="E58" s="38" t="s">
        <v>473</v>
      </c>
      <c r="F58" s="40">
        <v>500000.0</v>
      </c>
      <c r="G58" s="51">
        <v>13500.0</v>
      </c>
      <c r="H58" s="52">
        <f t="shared" si="3"/>
        <v>0.027</v>
      </c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40">
        <v>2007.0</v>
      </c>
      <c r="B59" s="38" t="s">
        <v>476</v>
      </c>
      <c r="C59" s="38" t="s">
        <v>421</v>
      </c>
      <c r="D59" s="38" t="s">
        <v>359</v>
      </c>
      <c r="E59" s="38" t="s">
        <v>473</v>
      </c>
      <c r="F59" s="40">
        <v>530000.0</v>
      </c>
      <c r="G59" s="51">
        <v>10500.0</v>
      </c>
      <c r="H59" s="52">
        <f t="shared" si="3"/>
        <v>0.01981132075</v>
      </c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40">
        <v>2008.0</v>
      </c>
      <c r="B60" s="38" t="s">
        <v>270</v>
      </c>
      <c r="C60" s="38" t="s">
        <v>444</v>
      </c>
      <c r="D60" s="38" t="s">
        <v>359</v>
      </c>
      <c r="E60" s="38" t="s">
        <v>473</v>
      </c>
      <c r="F60" s="40">
        <v>416000.0</v>
      </c>
      <c r="G60" s="51">
        <v>9125.0</v>
      </c>
      <c r="H60" s="52">
        <f t="shared" si="3"/>
        <v>0.02193509615</v>
      </c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40">
        <v>2009.0</v>
      </c>
      <c r="B61" s="38" t="s">
        <v>271</v>
      </c>
      <c r="C61" s="38" t="s">
        <v>371</v>
      </c>
      <c r="D61" s="38" t="s">
        <v>359</v>
      </c>
      <c r="E61" s="38" t="s">
        <v>473</v>
      </c>
      <c r="F61" s="40">
        <v>484000.0</v>
      </c>
      <c r="G61" s="51">
        <v>13500.0</v>
      </c>
      <c r="H61" s="52">
        <f t="shared" si="3"/>
        <v>0.02789256198</v>
      </c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40">
        <v>2010.0</v>
      </c>
      <c r="B62" s="38" t="s">
        <v>478</v>
      </c>
      <c r="C62" s="38" t="s">
        <v>399</v>
      </c>
      <c r="D62" s="38" t="s">
        <v>359</v>
      </c>
      <c r="E62" s="38" t="s">
        <v>473</v>
      </c>
      <c r="F62" s="40">
        <v>464000.0</v>
      </c>
      <c r="G62" s="51">
        <v>9750.0</v>
      </c>
      <c r="H62" s="52">
        <f t="shared" si="3"/>
        <v>0.02101293103</v>
      </c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40">
        <v>2011.0</v>
      </c>
      <c r="B63" s="38" t="s">
        <v>479</v>
      </c>
      <c r="C63" s="38" t="s">
        <v>480</v>
      </c>
      <c r="D63" s="38" t="s">
        <v>359</v>
      </c>
      <c r="E63" s="38" t="s">
        <v>473</v>
      </c>
      <c r="F63" s="40">
        <v>419000.0</v>
      </c>
      <c r="G63" s="51">
        <v>11500.0</v>
      </c>
      <c r="H63" s="52">
        <f t="shared" si="3"/>
        <v>0.02744630072</v>
      </c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40">
        <v>2012.0</v>
      </c>
      <c r="B64" s="38" t="s">
        <v>484</v>
      </c>
      <c r="C64" s="38" t="s">
        <v>373</v>
      </c>
      <c r="D64" s="38" t="s">
        <v>359</v>
      </c>
      <c r="E64" s="38" t="s">
        <v>473</v>
      </c>
      <c r="F64" s="40">
        <v>420000.0</v>
      </c>
      <c r="G64" s="51">
        <v>12625.0</v>
      </c>
      <c r="H64" s="52">
        <f t="shared" si="3"/>
        <v>0.03005952381</v>
      </c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40">
        <v>2013.0</v>
      </c>
      <c r="B65" s="38" t="s">
        <v>489</v>
      </c>
      <c r="C65" s="38" t="s">
        <v>368</v>
      </c>
      <c r="D65" s="38" t="s">
        <v>359</v>
      </c>
      <c r="E65" s="38" t="s">
        <v>473</v>
      </c>
      <c r="F65" s="40">
        <v>425000.0</v>
      </c>
      <c r="G65" s="51">
        <v>9750.0</v>
      </c>
      <c r="H65" s="52">
        <f t="shared" si="3"/>
        <v>0.02294117647</v>
      </c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40">
        <v>2014.0</v>
      </c>
      <c r="B66" s="38" t="s">
        <v>276</v>
      </c>
      <c r="C66" s="38" t="s">
        <v>371</v>
      </c>
      <c r="D66" s="38" t="s">
        <v>359</v>
      </c>
      <c r="E66" s="38" t="s">
        <v>473</v>
      </c>
      <c r="F66" s="40">
        <v>400000.0</v>
      </c>
      <c r="G66" s="51">
        <v>8667.0</v>
      </c>
      <c r="H66" s="52">
        <f t="shared" si="3"/>
        <v>0.0216675</v>
      </c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40">
        <v>2015.0</v>
      </c>
      <c r="B67" s="38" t="s">
        <v>277</v>
      </c>
      <c r="C67" s="39" t="s">
        <v>304</v>
      </c>
      <c r="D67" s="38" t="s">
        <v>359</v>
      </c>
      <c r="E67" s="38" t="s">
        <v>493</v>
      </c>
      <c r="F67" s="40">
        <v>402000.0</v>
      </c>
      <c r="G67" s="51">
        <v>15000.0</v>
      </c>
      <c r="H67" s="52">
        <f t="shared" si="3"/>
        <v>0.03731343284</v>
      </c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40">
        <v>2016.0</v>
      </c>
      <c r="B68" s="38" t="s">
        <v>278</v>
      </c>
      <c r="C68" s="38"/>
      <c r="D68" s="38" t="s">
        <v>494</v>
      </c>
      <c r="E68" s="38" t="s">
        <v>493</v>
      </c>
      <c r="F68" s="44">
        <v>390000.0</v>
      </c>
      <c r="G68" s="51">
        <v>14000.0</v>
      </c>
      <c r="H68" s="52">
        <f t="shared" si="3"/>
        <v>0.0358974359</v>
      </c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40">
        <v>2017.0</v>
      </c>
      <c r="B69" s="38" t="s">
        <v>279</v>
      </c>
      <c r="C69" s="38"/>
      <c r="D69" s="38" t="s">
        <v>494</v>
      </c>
      <c r="E69" s="38" t="s">
        <v>493</v>
      </c>
      <c r="F69" s="40">
        <v>360000.0</v>
      </c>
      <c r="G69" s="51">
        <v>14000.0</v>
      </c>
      <c r="H69" s="52">
        <f t="shared" si="3"/>
        <v>0.03888888889</v>
      </c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40">
        <v>2018.0</v>
      </c>
      <c r="B70" s="38" t="s">
        <v>280</v>
      </c>
      <c r="C70" s="38"/>
      <c r="D70" s="38" t="s">
        <v>494</v>
      </c>
      <c r="E70" s="38" t="s">
        <v>493</v>
      </c>
      <c r="F70" s="40">
        <v>340000.0</v>
      </c>
      <c r="G70" s="51">
        <v>9500.0</v>
      </c>
      <c r="H70" s="52">
        <f t="shared" si="3"/>
        <v>0.02794117647</v>
      </c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40">
        <v>2019.0</v>
      </c>
      <c r="B71" s="38" t="s">
        <v>281</v>
      </c>
      <c r="C71" s="38"/>
      <c r="D71" s="38" t="s">
        <v>494</v>
      </c>
      <c r="E71" s="38" t="s">
        <v>493</v>
      </c>
      <c r="F71" s="40">
        <v>381500.0</v>
      </c>
      <c r="G71" s="51">
        <v>13000.0</v>
      </c>
      <c r="H71" s="52">
        <f t="shared" si="3"/>
        <v>0.03407601573</v>
      </c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hyperlinks>
    <hyperlink r:id="rId1" ref="F68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4"/>
      <c r="B2" s="24" t="s">
        <v>305</v>
      </c>
    </row>
    <row r="3">
      <c r="D3" s="1" t="s">
        <v>306</v>
      </c>
      <c r="H3" s="4" t="s">
        <v>307</v>
      </c>
    </row>
    <row r="4">
      <c r="A4" s="1" t="s">
        <v>308</v>
      </c>
      <c r="B4" s="1" t="s">
        <v>304</v>
      </c>
      <c r="C4" s="1">
        <v>1.0</v>
      </c>
      <c r="E4" s="1" t="s">
        <v>309</v>
      </c>
      <c r="F4" s="45"/>
      <c r="G4" s="1" t="s">
        <v>309</v>
      </c>
      <c r="H4" s="46">
        <f>SUM(C4)/COUNTA(C4)</f>
        <v>1</v>
      </c>
    </row>
    <row r="5">
      <c r="A5" s="1" t="s">
        <v>310</v>
      </c>
      <c r="B5" s="1" t="s">
        <v>304</v>
      </c>
      <c r="C5" s="1">
        <v>1.0</v>
      </c>
      <c r="E5" s="1" t="s">
        <v>311</v>
      </c>
      <c r="F5" s="45"/>
      <c r="G5" s="1" t="s">
        <v>311</v>
      </c>
      <c r="H5" s="46">
        <f>SUM(C5:C12)/COUNTA(C5:C12)</f>
        <v>0.5</v>
      </c>
    </row>
    <row r="6">
      <c r="A6" s="1" t="s">
        <v>312</v>
      </c>
      <c r="B6" s="1" t="s">
        <v>304</v>
      </c>
      <c r="C6" s="1">
        <v>1.0</v>
      </c>
      <c r="E6" s="1" t="s">
        <v>311</v>
      </c>
      <c r="G6" s="1" t="s">
        <v>313</v>
      </c>
      <c r="H6" s="46">
        <f>SUM(C12:C23)/COUNTA(C12:C23)</f>
        <v>0.5</v>
      </c>
    </row>
    <row r="7">
      <c r="A7" s="1" t="s">
        <v>314</v>
      </c>
      <c r="B7" s="1" t="s">
        <v>315</v>
      </c>
      <c r="C7" s="1">
        <v>0.0</v>
      </c>
      <c r="E7" s="1" t="s">
        <v>311</v>
      </c>
      <c r="G7" s="1" t="s">
        <v>316</v>
      </c>
      <c r="H7" s="46">
        <f>SUM(C24:C32)/COUNTA(C23:C32)</f>
        <v>0.9</v>
      </c>
    </row>
    <row r="8">
      <c r="A8" s="1" t="s">
        <v>317</v>
      </c>
      <c r="B8" s="1" t="s">
        <v>318</v>
      </c>
      <c r="C8" s="1">
        <v>0.0</v>
      </c>
      <c r="E8" s="1" t="s">
        <v>311</v>
      </c>
      <c r="G8" s="1" t="s">
        <v>319</v>
      </c>
      <c r="H8" s="46">
        <f>100%</f>
        <v>1</v>
      </c>
    </row>
    <row r="9">
      <c r="A9" s="1" t="s">
        <v>320</v>
      </c>
      <c r="B9" s="1" t="s">
        <v>321</v>
      </c>
      <c r="C9" s="1">
        <v>0.0</v>
      </c>
      <c r="E9" s="1" t="s">
        <v>311</v>
      </c>
    </row>
    <row r="10">
      <c r="A10" s="1" t="s">
        <v>322</v>
      </c>
      <c r="B10" s="1" t="s">
        <v>304</v>
      </c>
      <c r="C10" s="1">
        <v>1.0</v>
      </c>
      <c r="E10" s="1" t="s">
        <v>311</v>
      </c>
    </row>
    <row r="11">
      <c r="A11" s="1" t="s">
        <v>323</v>
      </c>
      <c r="B11" s="1" t="s">
        <v>324</v>
      </c>
      <c r="C11" s="1">
        <v>0.0</v>
      </c>
      <c r="E11" s="1" t="s">
        <v>311</v>
      </c>
    </row>
    <row r="12">
      <c r="A12" s="1" t="s">
        <v>325</v>
      </c>
      <c r="B12" s="1" t="s">
        <v>304</v>
      </c>
      <c r="C12" s="4">
        <v>1.0</v>
      </c>
      <c r="E12" s="1" t="s">
        <v>313</v>
      </c>
    </row>
    <row r="13">
      <c r="A13" s="1" t="s">
        <v>326</v>
      </c>
      <c r="B13" s="1" t="s">
        <v>318</v>
      </c>
      <c r="C13" s="1">
        <v>0.0</v>
      </c>
      <c r="E13" s="1" t="s">
        <v>313</v>
      </c>
    </row>
    <row r="14">
      <c r="A14" s="1" t="s">
        <v>327</v>
      </c>
      <c r="B14" s="1" t="s">
        <v>321</v>
      </c>
      <c r="C14" s="1">
        <v>0.0</v>
      </c>
      <c r="D14" s="47">
        <f>SUM(C4:C13)/10</f>
        <v>0.5</v>
      </c>
      <c r="E14" s="1" t="s">
        <v>313</v>
      </c>
    </row>
    <row r="15">
      <c r="A15" s="1" t="s">
        <v>328</v>
      </c>
      <c r="B15" s="1" t="s">
        <v>315</v>
      </c>
      <c r="C15" s="1">
        <v>0.0</v>
      </c>
      <c r="E15" s="1" t="s">
        <v>313</v>
      </c>
    </row>
    <row r="16">
      <c r="A16" s="1" t="s">
        <v>329</v>
      </c>
      <c r="B16" s="1" t="s">
        <v>304</v>
      </c>
      <c r="C16" s="4">
        <v>1.0</v>
      </c>
      <c r="E16" s="1" t="s">
        <v>313</v>
      </c>
    </row>
    <row r="17">
      <c r="A17" s="1" t="s">
        <v>330</v>
      </c>
      <c r="B17" s="1" t="s">
        <v>304</v>
      </c>
      <c r="C17" s="4">
        <v>1.0</v>
      </c>
      <c r="E17" s="1" t="s">
        <v>313</v>
      </c>
    </row>
    <row r="18">
      <c r="A18" s="1" t="s">
        <v>331</v>
      </c>
      <c r="B18" s="1" t="s">
        <v>332</v>
      </c>
      <c r="C18" s="4">
        <v>1.0</v>
      </c>
      <c r="E18" s="1" t="s">
        <v>313</v>
      </c>
    </row>
    <row r="19">
      <c r="A19" s="1" t="s">
        <v>333</v>
      </c>
      <c r="B19" s="1" t="s">
        <v>318</v>
      </c>
      <c r="C19" s="1">
        <v>0.0</v>
      </c>
      <c r="E19" s="1" t="s">
        <v>313</v>
      </c>
    </row>
    <row r="20">
      <c r="A20" s="1" t="s">
        <v>334</v>
      </c>
      <c r="B20" s="1" t="s">
        <v>304</v>
      </c>
      <c r="C20" s="4">
        <v>1.0</v>
      </c>
      <c r="E20" s="1" t="s">
        <v>313</v>
      </c>
    </row>
    <row r="21">
      <c r="A21" s="1" t="s">
        <v>335</v>
      </c>
      <c r="B21" s="1" t="s">
        <v>336</v>
      </c>
      <c r="C21" s="1">
        <v>0.0</v>
      </c>
      <c r="E21" s="1" t="s">
        <v>313</v>
      </c>
    </row>
    <row r="22">
      <c r="A22" s="1" t="s">
        <v>337</v>
      </c>
      <c r="B22" s="1" t="s">
        <v>321</v>
      </c>
      <c r="C22" s="1">
        <v>0.0</v>
      </c>
      <c r="E22" s="1" t="s">
        <v>313</v>
      </c>
    </row>
    <row r="23">
      <c r="A23" s="1" t="s">
        <v>338</v>
      </c>
      <c r="B23" s="1" t="s">
        <v>304</v>
      </c>
      <c r="C23" s="4">
        <v>1.0</v>
      </c>
      <c r="E23" s="1" t="s">
        <v>313</v>
      </c>
    </row>
    <row r="24">
      <c r="A24" s="1" t="s">
        <v>339</v>
      </c>
      <c r="B24" s="1" t="s">
        <v>304</v>
      </c>
      <c r="C24" s="1">
        <v>1.0</v>
      </c>
      <c r="D24" s="47">
        <f>SUM(C14:C23)/10</f>
        <v>0.5</v>
      </c>
      <c r="E24" s="1" t="s">
        <v>316</v>
      </c>
    </row>
    <row r="25">
      <c r="A25" s="1" t="s">
        <v>340</v>
      </c>
      <c r="B25" s="1" t="s">
        <v>332</v>
      </c>
      <c r="C25" s="1">
        <v>1.0</v>
      </c>
      <c r="E25" s="1" t="s">
        <v>316</v>
      </c>
    </row>
    <row r="26">
      <c r="A26" s="1" t="s">
        <v>341</v>
      </c>
      <c r="B26" s="1" t="s">
        <v>332</v>
      </c>
      <c r="C26" s="1">
        <v>1.0</v>
      </c>
      <c r="E26" s="1" t="s">
        <v>316</v>
      </c>
    </row>
    <row r="27">
      <c r="A27" s="1" t="s">
        <v>342</v>
      </c>
      <c r="B27" s="1" t="s">
        <v>304</v>
      </c>
      <c r="C27" s="1">
        <v>1.0</v>
      </c>
      <c r="E27" s="1" t="s">
        <v>316</v>
      </c>
    </row>
    <row r="28">
      <c r="A28" s="1" t="s">
        <v>343</v>
      </c>
      <c r="B28" s="1" t="s">
        <v>332</v>
      </c>
      <c r="C28" s="1">
        <v>1.0</v>
      </c>
      <c r="E28" s="1" t="s">
        <v>316</v>
      </c>
    </row>
    <row r="29">
      <c r="A29" s="1" t="s">
        <v>344</v>
      </c>
      <c r="B29" s="1" t="s">
        <v>304</v>
      </c>
      <c r="C29" s="1">
        <v>1.0</v>
      </c>
      <c r="E29" s="1" t="s">
        <v>316</v>
      </c>
    </row>
    <row r="30">
      <c r="A30" s="1" t="s">
        <v>345</v>
      </c>
      <c r="B30" s="1" t="s">
        <v>304</v>
      </c>
      <c r="C30" s="1">
        <v>1.0</v>
      </c>
      <c r="E30" s="1" t="s">
        <v>316</v>
      </c>
    </row>
    <row r="31">
      <c r="A31" s="1" t="s">
        <v>346</v>
      </c>
      <c r="B31" s="1" t="s">
        <v>304</v>
      </c>
      <c r="C31" s="1">
        <v>1.0</v>
      </c>
      <c r="E31" s="1" t="s">
        <v>316</v>
      </c>
    </row>
    <row r="32">
      <c r="A32" s="1" t="s">
        <v>347</v>
      </c>
      <c r="B32" s="1" t="s">
        <v>304</v>
      </c>
      <c r="C32" s="1">
        <v>1.0</v>
      </c>
      <c r="E32" s="1" t="s">
        <v>319</v>
      </c>
    </row>
    <row r="33">
      <c r="A33" s="1" t="s">
        <v>348</v>
      </c>
      <c r="B33" s="1" t="s">
        <v>318</v>
      </c>
      <c r="C33" s="1">
        <v>0.0</v>
      </c>
      <c r="E33" s="1" t="s">
        <v>319</v>
      </c>
    </row>
    <row r="34">
      <c r="C34" s="45">
        <f>SUM(C4:C33)/30</f>
        <v>0.6333333333</v>
      </c>
      <c r="D34" s="47">
        <f>SUM(C24:C33)/10</f>
        <v>0.9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4"/>
      <c r="B1" s="54" t="s">
        <v>477</v>
      </c>
      <c r="C1" s="55" t="s">
        <v>304</v>
      </c>
      <c r="D1" s="56"/>
      <c r="E1" s="56"/>
      <c r="F1" s="56"/>
    </row>
    <row r="2">
      <c r="A2" s="54" t="s">
        <v>349</v>
      </c>
      <c r="B2" s="57"/>
      <c r="C2" s="55" t="s">
        <v>481</v>
      </c>
      <c r="D2" s="55" t="s">
        <v>482</v>
      </c>
      <c r="E2" s="58" t="s">
        <v>483</v>
      </c>
      <c r="F2" s="1" t="s">
        <v>485</v>
      </c>
      <c r="G2" s="1" t="s">
        <v>486</v>
      </c>
      <c r="H2" s="1" t="s">
        <v>487</v>
      </c>
      <c r="I2" s="1" t="s">
        <v>488</v>
      </c>
    </row>
    <row r="3">
      <c r="A3" s="59">
        <v>1990.0</v>
      </c>
      <c r="B3" s="59" t="s">
        <v>490</v>
      </c>
      <c r="C3" s="59" t="s">
        <v>491</v>
      </c>
      <c r="D3" s="59" t="s">
        <v>492</v>
      </c>
      <c r="E3" s="51">
        <v>56667.0</v>
      </c>
      <c r="F3" s="60">
        <v>84667.0</v>
      </c>
      <c r="G3" s="61">
        <f t="shared" ref="G3:G32" si="1">F3-E3</f>
        <v>28000</v>
      </c>
      <c r="H3" s="46">
        <f t="shared" ref="H3:H32" si="2">E3/F3</f>
        <v>0.6692926406</v>
      </c>
    </row>
    <row r="4">
      <c r="A4" s="59">
        <v>1991.0</v>
      </c>
      <c r="B4" s="59" t="s">
        <v>495</v>
      </c>
      <c r="C4" s="59" t="s">
        <v>491</v>
      </c>
      <c r="D4" s="59" t="s">
        <v>496</v>
      </c>
      <c r="E4" s="51">
        <v>10000.0</v>
      </c>
      <c r="F4" s="60">
        <v>22667.0</v>
      </c>
      <c r="G4" s="61">
        <f t="shared" si="1"/>
        <v>12667</v>
      </c>
      <c r="H4" s="46">
        <f t="shared" si="2"/>
        <v>0.4411699828</v>
      </c>
      <c r="I4" s="46">
        <f t="shared" ref="I4:I31" si="3">AVERAGE(H3:H5)</f>
        <v>0.5497014365</v>
      </c>
    </row>
    <row r="5">
      <c r="A5" s="59">
        <v>1992.0</v>
      </c>
      <c r="B5" s="59" t="s">
        <v>497</v>
      </c>
      <c r="C5" s="62" t="s">
        <v>498</v>
      </c>
      <c r="D5" s="59" t="s">
        <v>499</v>
      </c>
      <c r="E5" s="51">
        <v>23000.0</v>
      </c>
      <c r="F5" s="60">
        <v>42700.0</v>
      </c>
      <c r="G5" s="61">
        <f t="shared" si="1"/>
        <v>19700</v>
      </c>
      <c r="H5" s="46">
        <f t="shared" si="2"/>
        <v>0.5386416862</v>
      </c>
      <c r="I5" s="46">
        <f t="shared" si="3"/>
        <v>0.5092539428</v>
      </c>
    </row>
    <row r="6">
      <c r="A6" s="59">
        <v>1993.0</v>
      </c>
      <c r="B6" s="59" t="s">
        <v>500</v>
      </c>
      <c r="C6" s="59" t="s">
        <v>501</v>
      </c>
      <c r="D6" s="59" t="s">
        <v>502</v>
      </c>
      <c r="E6" s="51">
        <v>16667.0</v>
      </c>
      <c r="F6" s="60">
        <v>30417.0</v>
      </c>
      <c r="G6" s="61">
        <f t="shared" si="1"/>
        <v>13750</v>
      </c>
      <c r="H6" s="46">
        <f t="shared" si="2"/>
        <v>0.5479501595</v>
      </c>
      <c r="I6" s="46">
        <f t="shared" si="3"/>
        <v>0.60171824</v>
      </c>
    </row>
    <row r="7">
      <c r="A7" s="59">
        <v>1994.0</v>
      </c>
      <c r="B7" s="59" t="s">
        <v>503</v>
      </c>
      <c r="C7" s="59" t="s">
        <v>501</v>
      </c>
      <c r="D7" s="59" t="s">
        <v>504</v>
      </c>
      <c r="E7" s="51">
        <v>6000.0</v>
      </c>
      <c r="F7" s="60">
        <v>8350.0</v>
      </c>
      <c r="G7" s="61">
        <f t="shared" si="1"/>
        <v>2350</v>
      </c>
      <c r="H7" s="46">
        <f t="shared" si="2"/>
        <v>0.7185628743</v>
      </c>
      <c r="I7" s="46">
        <f t="shared" si="3"/>
        <v>0.6777841373</v>
      </c>
    </row>
    <row r="8">
      <c r="A8" s="59">
        <v>1995.0</v>
      </c>
      <c r="B8" s="59" t="s">
        <v>505</v>
      </c>
      <c r="C8" s="62" t="s">
        <v>498</v>
      </c>
      <c r="D8" s="59" t="s">
        <v>506</v>
      </c>
      <c r="E8" s="51">
        <v>7400.0</v>
      </c>
      <c r="F8" s="60">
        <v>9650.0</v>
      </c>
      <c r="G8" s="61">
        <f t="shared" si="1"/>
        <v>2250</v>
      </c>
      <c r="H8" s="46">
        <f t="shared" si="2"/>
        <v>0.7668393782</v>
      </c>
      <c r="I8" s="46">
        <f t="shared" si="3"/>
        <v>0.6692547056</v>
      </c>
    </row>
    <row r="9">
      <c r="A9" s="59">
        <v>1996.0</v>
      </c>
      <c r="B9" s="59" t="s">
        <v>495</v>
      </c>
      <c r="C9" s="59" t="s">
        <v>491</v>
      </c>
      <c r="D9" s="59" t="s">
        <v>507</v>
      </c>
      <c r="E9" s="51">
        <v>16667.0</v>
      </c>
      <c r="F9" s="60">
        <v>31907.0</v>
      </c>
      <c r="G9" s="61">
        <f t="shared" si="1"/>
        <v>15240</v>
      </c>
      <c r="H9" s="46">
        <f t="shared" si="2"/>
        <v>0.5223618642</v>
      </c>
      <c r="I9" s="46">
        <f t="shared" si="3"/>
        <v>0.5435075651</v>
      </c>
    </row>
    <row r="10">
      <c r="A10" s="59">
        <v>1997.0</v>
      </c>
      <c r="B10" s="59" t="s">
        <v>508</v>
      </c>
      <c r="C10" s="62" t="s">
        <v>509</v>
      </c>
      <c r="D10" s="59" t="s">
        <v>510</v>
      </c>
      <c r="E10" s="51">
        <v>9500.0</v>
      </c>
      <c r="F10" s="60">
        <v>27833.0</v>
      </c>
      <c r="G10" s="61">
        <f t="shared" si="1"/>
        <v>18333</v>
      </c>
      <c r="H10" s="46">
        <f t="shared" si="2"/>
        <v>0.341321453</v>
      </c>
      <c r="I10" s="46">
        <f t="shared" si="3"/>
        <v>0.4485293376</v>
      </c>
    </row>
    <row r="11">
      <c r="A11" s="59">
        <v>1998.0</v>
      </c>
      <c r="B11" s="59" t="s">
        <v>497</v>
      </c>
      <c r="C11" s="62" t="s">
        <v>498</v>
      </c>
      <c r="D11" s="59" t="s">
        <v>511</v>
      </c>
      <c r="E11" s="51">
        <v>13875.0</v>
      </c>
      <c r="F11" s="60">
        <v>28792.0</v>
      </c>
      <c r="G11" s="61">
        <f t="shared" si="1"/>
        <v>14917</v>
      </c>
      <c r="H11" s="46">
        <f t="shared" si="2"/>
        <v>0.4819046957</v>
      </c>
      <c r="I11" s="46">
        <f t="shared" si="3"/>
        <v>0.3709732473</v>
      </c>
    </row>
    <row r="12">
      <c r="A12" s="59">
        <v>1999.0</v>
      </c>
      <c r="B12" s="59" t="s">
        <v>500</v>
      </c>
      <c r="C12" s="59" t="s">
        <v>501</v>
      </c>
      <c r="D12" s="59" t="s">
        <v>512</v>
      </c>
      <c r="E12" s="51">
        <v>10400.0</v>
      </c>
      <c r="F12" s="60">
        <v>35900.0</v>
      </c>
      <c r="G12" s="61">
        <f t="shared" si="1"/>
        <v>25500</v>
      </c>
      <c r="H12" s="46">
        <f t="shared" si="2"/>
        <v>0.2896935933</v>
      </c>
      <c r="I12" s="46">
        <f t="shared" si="3"/>
        <v>0.3510389773</v>
      </c>
    </row>
    <row r="13">
      <c r="A13" s="59">
        <v>2000.0</v>
      </c>
      <c r="B13" s="59" t="s">
        <v>505</v>
      </c>
      <c r="C13" s="62" t="s">
        <v>498</v>
      </c>
      <c r="D13" s="59" t="s">
        <v>513</v>
      </c>
      <c r="E13" s="51">
        <v>11167.0</v>
      </c>
      <c r="F13" s="60">
        <v>39667.0</v>
      </c>
      <c r="G13" s="61">
        <f t="shared" si="1"/>
        <v>28500</v>
      </c>
      <c r="H13" s="46">
        <f t="shared" si="2"/>
        <v>0.2815186427</v>
      </c>
      <c r="I13" s="46">
        <f t="shared" si="3"/>
        <v>0.3640762342</v>
      </c>
    </row>
    <row r="14">
      <c r="A14" s="59">
        <v>2001.0</v>
      </c>
      <c r="B14" s="59" t="s">
        <v>490</v>
      </c>
      <c r="C14" s="59" t="s">
        <v>491</v>
      </c>
      <c r="D14" s="59" t="s">
        <v>514</v>
      </c>
      <c r="E14" s="51">
        <v>16833.0</v>
      </c>
      <c r="F14" s="60">
        <v>32308.0</v>
      </c>
      <c r="G14" s="61">
        <f t="shared" si="1"/>
        <v>15475</v>
      </c>
      <c r="H14" s="46">
        <f t="shared" si="2"/>
        <v>0.5210164665</v>
      </c>
      <c r="I14" s="46">
        <f t="shared" si="3"/>
        <v>0.4162720336</v>
      </c>
    </row>
    <row r="15">
      <c r="A15" s="59">
        <v>2002.0</v>
      </c>
      <c r="B15" s="59" t="s">
        <v>495</v>
      </c>
      <c r="C15" s="59" t="s">
        <v>491</v>
      </c>
      <c r="D15" s="59" t="s">
        <v>515</v>
      </c>
      <c r="E15" s="51">
        <v>13500.0</v>
      </c>
      <c r="F15" s="60">
        <v>30250.0</v>
      </c>
      <c r="G15" s="61">
        <f t="shared" si="1"/>
        <v>16750</v>
      </c>
      <c r="H15" s="46">
        <f t="shared" si="2"/>
        <v>0.4462809917</v>
      </c>
      <c r="I15" s="46">
        <f t="shared" si="3"/>
        <v>0.4247052134</v>
      </c>
    </row>
    <row r="16">
      <c r="A16" s="59">
        <v>2003.0</v>
      </c>
      <c r="B16" s="59" t="s">
        <v>508</v>
      </c>
      <c r="C16" s="62" t="s">
        <v>509</v>
      </c>
      <c r="D16" s="59" t="s">
        <v>516</v>
      </c>
      <c r="E16" s="51">
        <v>13500.0</v>
      </c>
      <c r="F16" s="60">
        <v>44000.0</v>
      </c>
      <c r="G16" s="61">
        <f t="shared" si="1"/>
        <v>30500</v>
      </c>
      <c r="H16" s="46">
        <f t="shared" si="2"/>
        <v>0.3068181818</v>
      </c>
      <c r="I16" s="46">
        <f t="shared" si="3"/>
        <v>0.3531301881</v>
      </c>
    </row>
    <row r="17">
      <c r="A17" s="59">
        <v>2004.0</v>
      </c>
      <c r="B17" s="59" t="s">
        <v>500</v>
      </c>
      <c r="C17" s="59" t="s">
        <v>501</v>
      </c>
      <c r="D17" s="59" t="s">
        <v>517</v>
      </c>
      <c r="E17" s="51">
        <v>18500.0</v>
      </c>
      <c r="F17" s="60">
        <v>60400.0</v>
      </c>
      <c r="G17" s="61">
        <f t="shared" si="1"/>
        <v>41900</v>
      </c>
      <c r="H17" s="46">
        <f t="shared" si="2"/>
        <v>0.3062913907</v>
      </c>
      <c r="I17" s="46">
        <f t="shared" si="3"/>
        <v>0.3389852421</v>
      </c>
    </row>
    <row r="18">
      <c r="A18" s="59">
        <v>2005.0</v>
      </c>
      <c r="B18" s="59" t="s">
        <v>503</v>
      </c>
      <c r="C18" s="59" t="s">
        <v>501</v>
      </c>
      <c r="D18" s="59" t="s">
        <v>518</v>
      </c>
      <c r="E18" s="51">
        <v>10500.0</v>
      </c>
      <c r="F18" s="60">
        <v>26000.0</v>
      </c>
      <c r="G18" s="61">
        <f t="shared" si="1"/>
        <v>15500</v>
      </c>
      <c r="H18" s="46">
        <f t="shared" si="2"/>
        <v>0.4038461538</v>
      </c>
      <c r="I18" s="46">
        <f t="shared" si="3"/>
        <v>0.3943307285</v>
      </c>
    </row>
    <row r="19">
      <c r="A19" s="59">
        <v>2006.0</v>
      </c>
      <c r="B19" s="59" t="s">
        <v>505</v>
      </c>
      <c r="C19" s="62" t="s">
        <v>498</v>
      </c>
      <c r="D19" s="59" t="s">
        <v>519</v>
      </c>
      <c r="E19" s="51">
        <v>13500.0</v>
      </c>
      <c r="F19" s="60">
        <v>28550.0</v>
      </c>
      <c r="G19" s="61">
        <f t="shared" si="1"/>
        <v>15050</v>
      </c>
      <c r="H19" s="46">
        <f t="shared" si="2"/>
        <v>0.472854641</v>
      </c>
      <c r="I19" s="46">
        <f t="shared" si="3"/>
        <v>0.3754342068</v>
      </c>
    </row>
    <row r="20">
      <c r="A20" s="59">
        <v>2007.0</v>
      </c>
      <c r="B20" s="59" t="s">
        <v>490</v>
      </c>
      <c r="C20" s="59" t="s">
        <v>491</v>
      </c>
      <c r="D20" s="59" t="s">
        <v>520</v>
      </c>
      <c r="E20" s="51">
        <v>10500.0</v>
      </c>
      <c r="F20" s="60">
        <v>42067.0</v>
      </c>
      <c r="G20" s="61">
        <f t="shared" si="1"/>
        <v>31567</v>
      </c>
      <c r="H20" s="46">
        <f t="shared" si="2"/>
        <v>0.2496018257</v>
      </c>
      <c r="I20" s="46">
        <f t="shared" si="3"/>
        <v>0.30563857</v>
      </c>
    </row>
    <row r="21">
      <c r="A21" s="59">
        <v>2008.0</v>
      </c>
      <c r="B21" s="59" t="s">
        <v>508</v>
      </c>
      <c r="C21" s="62" t="s">
        <v>509</v>
      </c>
      <c r="D21" s="59" t="s">
        <v>521</v>
      </c>
      <c r="E21" s="51">
        <v>9125.0</v>
      </c>
      <c r="F21" s="60">
        <v>46925.0</v>
      </c>
      <c r="G21" s="61">
        <f t="shared" si="1"/>
        <v>37800</v>
      </c>
      <c r="H21" s="46">
        <f t="shared" si="2"/>
        <v>0.1944592435</v>
      </c>
      <c r="I21" s="46">
        <f t="shared" si="3"/>
        <v>0.2180048043</v>
      </c>
    </row>
    <row r="22">
      <c r="A22" s="59">
        <v>2009.0</v>
      </c>
      <c r="B22" s="59" t="s">
        <v>497</v>
      </c>
      <c r="C22" s="62" t="s">
        <v>498</v>
      </c>
      <c r="D22" s="59" t="s">
        <v>522</v>
      </c>
      <c r="E22" s="51">
        <v>13500.0</v>
      </c>
      <c r="F22" s="60">
        <v>64300.0</v>
      </c>
      <c r="G22" s="61">
        <f t="shared" si="1"/>
        <v>50800</v>
      </c>
      <c r="H22" s="46">
        <f t="shared" si="2"/>
        <v>0.2099533437</v>
      </c>
      <c r="I22" s="46">
        <f t="shared" si="3"/>
        <v>0.1878221403</v>
      </c>
    </row>
    <row r="23">
      <c r="A23" s="59">
        <v>2010.0</v>
      </c>
      <c r="B23" s="59" t="s">
        <v>500</v>
      </c>
      <c r="C23" s="59" t="s">
        <v>501</v>
      </c>
      <c r="D23" s="59" t="s">
        <v>523</v>
      </c>
      <c r="E23" s="51">
        <v>9750.0</v>
      </c>
      <c r="F23" s="60">
        <v>61300.0</v>
      </c>
      <c r="G23" s="61">
        <f t="shared" si="1"/>
        <v>51550</v>
      </c>
      <c r="H23" s="46">
        <f t="shared" si="2"/>
        <v>0.1590538336</v>
      </c>
      <c r="I23" s="46">
        <f t="shared" si="3"/>
        <v>0.1999259839</v>
      </c>
    </row>
    <row r="24">
      <c r="A24" s="59">
        <v>2011.0</v>
      </c>
      <c r="B24" s="59" t="s">
        <v>503</v>
      </c>
      <c r="C24" s="59" t="s">
        <v>501</v>
      </c>
      <c r="D24" s="59" t="s">
        <v>524</v>
      </c>
      <c r="E24" s="51">
        <v>11500.0</v>
      </c>
      <c r="F24" s="60">
        <v>49833.0</v>
      </c>
      <c r="G24" s="61">
        <f t="shared" si="1"/>
        <v>38333</v>
      </c>
      <c r="H24" s="46">
        <f t="shared" si="2"/>
        <v>0.2307707744</v>
      </c>
      <c r="I24" s="46">
        <f t="shared" si="3"/>
        <v>0.1993573436</v>
      </c>
    </row>
    <row r="25">
      <c r="A25" s="59">
        <v>2012.0</v>
      </c>
      <c r="B25" s="59" t="s">
        <v>490</v>
      </c>
      <c r="C25" s="59" t="s">
        <v>491</v>
      </c>
      <c r="D25" s="59" t="s">
        <v>525</v>
      </c>
      <c r="E25" s="51">
        <v>12625.0</v>
      </c>
      <c r="F25" s="60">
        <v>60625.0</v>
      </c>
      <c r="G25" s="61">
        <f t="shared" si="1"/>
        <v>48000</v>
      </c>
      <c r="H25" s="46">
        <f t="shared" si="2"/>
        <v>0.2082474227</v>
      </c>
      <c r="I25" s="46">
        <f t="shared" si="3"/>
        <v>0.1975874871</v>
      </c>
    </row>
    <row r="26">
      <c r="A26" s="59">
        <v>2013.0</v>
      </c>
      <c r="B26" s="59" t="s">
        <v>495</v>
      </c>
      <c r="C26" s="59" t="s">
        <v>491</v>
      </c>
      <c r="D26" s="59" t="s">
        <v>526</v>
      </c>
      <c r="E26" s="51">
        <v>9750.0</v>
      </c>
      <c r="F26" s="60">
        <v>63417.0</v>
      </c>
      <c r="G26" s="61">
        <f t="shared" si="1"/>
        <v>53667</v>
      </c>
      <c r="H26" s="46">
        <f t="shared" si="2"/>
        <v>0.1537442642</v>
      </c>
      <c r="I26" s="46">
        <f t="shared" si="3"/>
        <v>0.1615457782</v>
      </c>
    </row>
    <row r="27">
      <c r="A27" s="59">
        <v>2014.0</v>
      </c>
      <c r="B27" s="59" t="s">
        <v>508</v>
      </c>
      <c r="C27" s="62" t="s">
        <v>509</v>
      </c>
      <c r="D27" s="59" t="s">
        <v>515</v>
      </c>
      <c r="E27" s="51">
        <v>8667.0</v>
      </c>
      <c r="F27" s="60">
        <v>70667.0</v>
      </c>
      <c r="G27" s="61">
        <f t="shared" si="1"/>
        <v>62000</v>
      </c>
      <c r="H27" s="46">
        <f t="shared" si="2"/>
        <v>0.1226456479</v>
      </c>
      <c r="I27" s="46">
        <f t="shared" si="3"/>
        <v>0.1502695056</v>
      </c>
    </row>
    <row r="28">
      <c r="A28" s="59">
        <v>2015.0</v>
      </c>
      <c r="B28" s="59" t="s">
        <v>497</v>
      </c>
      <c r="C28" s="62" t="s">
        <v>498</v>
      </c>
      <c r="D28" s="59" t="s">
        <v>527</v>
      </c>
      <c r="E28" s="51">
        <v>15000.0</v>
      </c>
      <c r="F28" s="60">
        <v>86000.0</v>
      </c>
      <c r="G28" s="61">
        <f t="shared" si="1"/>
        <v>71000</v>
      </c>
      <c r="H28" s="46">
        <f t="shared" si="2"/>
        <v>0.1744186047</v>
      </c>
      <c r="I28" s="46">
        <f t="shared" si="3"/>
        <v>0.1747175516</v>
      </c>
    </row>
    <row r="29">
      <c r="A29" s="59">
        <v>2016.0</v>
      </c>
      <c r="B29" s="59" t="s">
        <v>503</v>
      </c>
      <c r="C29" s="59" t="s">
        <v>501</v>
      </c>
      <c r="D29" s="59" t="s">
        <v>528</v>
      </c>
      <c r="E29" s="51">
        <v>14000.0</v>
      </c>
      <c r="F29" s="60">
        <v>61650.0</v>
      </c>
      <c r="G29" s="61">
        <f t="shared" si="1"/>
        <v>47650</v>
      </c>
      <c r="H29" s="46">
        <f t="shared" si="2"/>
        <v>0.2270884023</v>
      </c>
      <c r="I29" s="46">
        <f t="shared" si="3"/>
        <v>0.196182585</v>
      </c>
    </row>
    <row r="30">
      <c r="A30" s="59">
        <v>2017.0</v>
      </c>
      <c r="B30" s="59" t="s">
        <v>505</v>
      </c>
      <c r="C30" s="62" t="s">
        <v>498</v>
      </c>
      <c r="D30" s="59" t="s">
        <v>529</v>
      </c>
      <c r="E30" s="51">
        <v>14000.0</v>
      </c>
      <c r="F30" s="60">
        <v>74850.0</v>
      </c>
      <c r="G30" s="61">
        <f t="shared" si="1"/>
        <v>60850</v>
      </c>
      <c r="H30" s="46">
        <f t="shared" si="2"/>
        <v>0.1870407482</v>
      </c>
      <c r="I30" s="46">
        <f t="shared" si="3"/>
        <v>0.1804348395</v>
      </c>
    </row>
    <row r="31">
      <c r="A31" s="59">
        <v>2018.0</v>
      </c>
      <c r="B31" s="59" t="s">
        <v>490</v>
      </c>
      <c r="C31" s="59" t="s">
        <v>491</v>
      </c>
      <c r="D31" s="59" t="s">
        <v>492</v>
      </c>
      <c r="E31" s="51">
        <v>9500.0</v>
      </c>
      <c r="F31" s="60">
        <v>74700.0</v>
      </c>
      <c r="G31" s="61">
        <f t="shared" si="1"/>
        <v>65200</v>
      </c>
      <c r="H31" s="46">
        <f t="shared" si="2"/>
        <v>0.1271753681</v>
      </c>
      <c r="I31" s="46">
        <f t="shared" si="3"/>
        <v>0.167814882</v>
      </c>
    </row>
    <row r="32">
      <c r="A32" s="59">
        <v>2019.0</v>
      </c>
      <c r="B32" s="59" t="s">
        <v>495</v>
      </c>
      <c r="C32" s="59" t="s">
        <v>491</v>
      </c>
      <c r="D32" s="59" t="s">
        <v>530</v>
      </c>
      <c r="E32" s="51">
        <v>13000.0</v>
      </c>
      <c r="F32" s="60">
        <v>68700.0</v>
      </c>
      <c r="G32" s="61">
        <f t="shared" si="1"/>
        <v>55700</v>
      </c>
      <c r="H32" s="46">
        <f t="shared" si="2"/>
        <v>0.1892285298</v>
      </c>
    </row>
  </sheetData>
  <mergeCells count="2">
    <mergeCell ref="B1:B2"/>
    <mergeCell ref="C1:F1"/>
  </mergeCells>
  <drawing r:id="rId1"/>
</worksheet>
</file>